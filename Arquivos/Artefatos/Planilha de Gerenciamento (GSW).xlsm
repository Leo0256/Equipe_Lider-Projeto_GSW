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yggdr\Documents\Fatec\2º\Equipe_Lider-Projeto_GSW\Arquivos\Artefatos\"/>
    </mc:Choice>
  </mc:AlternateContent>
  <xr:revisionPtr revIDLastSave="0" documentId="13_ncr:1_{B40B9CF5-4991-4F63-A87B-A85B79092F9D}" xr6:coauthVersionLast="46" xr6:coauthVersionMax="46" xr10:uidLastSave="{00000000-0000-0000-0000-000000000000}"/>
  <bookViews>
    <workbookView xWindow="-120" yWindow="-120" windowWidth="20730" windowHeight="11160" activeTab="6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BDW 1" sheetId="24" state="hidden" r:id="rId11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0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0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0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0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0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7" i="12" l="1"/>
  <c r="H12" i="12"/>
  <c r="E42" i="19"/>
  <c r="G42" i="19"/>
  <c r="F42" i="19"/>
  <c r="C4" i="25" l="1"/>
  <c r="E12" i="25"/>
  <c r="F12" i="25"/>
  <c r="G12" i="25"/>
  <c r="H5" i="12"/>
  <c r="H6" i="12"/>
  <c r="H13" i="12"/>
  <c r="H14" i="12"/>
  <c r="H8" i="12"/>
  <c r="E11" i="24" s="1"/>
  <c r="H9" i="12"/>
  <c r="E12" i="24" s="1"/>
  <c r="H10" i="12"/>
  <c r="E13" i="24" s="1"/>
  <c r="H1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6" i="25" l="1"/>
  <c r="E5" i="25"/>
  <c r="I30" i="19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19" i="12"/>
  <c r="H20" i="12"/>
  <c r="H21" i="12"/>
  <c r="H22" i="12"/>
  <c r="H23" i="12"/>
  <c r="H24" i="12"/>
  <c r="H25" i="12"/>
  <c r="H26" i="12"/>
  <c r="H27" i="12"/>
  <c r="H28" i="12"/>
  <c r="H29" i="12"/>
  <c r="H30" i="12"/>
  <c r="H31" i="12"/>
  <c r="H32" i="12"/>
  <c r="H33" i="12"/>
  <c r="H34" i="12"/>
  <c r="H35" i="12"/>
  <c r="H36" i="12"/>
  <c r="H37" i="12"/>
  <c r="H38" i="12"/>
  <c r="H39" i="12"/>
  <c r="H42" i="12"/>
  <c r="H43" i="12"/>
  <c r="H44" i="12"/>
  <c r="H45" i="12"/>
  <c r="H46" i="12"/>
  <c r="H47" i="12"/>
  <c r="H48" i="12"/>
  <c r="H49" i="12"/>
  <c r="H50" i="12"/>
  <c r="H51" i="12"/>
  <c r="H52" i="12"/>
  <c r="H53" i="12"/>
  <c r="H54" i="12"/>
  <c r="H55" i="12"/>
  <c r="H56" i="12"/>
  <c r="H57" i="12"/>
  <c r="H58" i="12"/>
  <c r="H59" i="12"/>
  <c r="H60" i="12"/>
  <c r="H61" i="12"/>
  <c r="H62" i="12"/>
  <c r="H63" i="12"/>
  <c r="H64" i="12"/>
  <c r="H65" i="12"/>
  <c r="H66" i="12"/>
  <c r="H67" i="12"/>
  <c r="H68" i="12"/>
  <c r="H69" i="12"/>
  <c r="H70" i="12"/>
  <c r="H71" i="12"/>
  <c r="H72" i="12"/>
  <c r="H73" i="12"/>
  <c r="H74" i="12"/>
  <c r="H75" i="12"/>
  <c r="E9" i="24"/>
  <c r="E8" i="25" l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J8" i="25" l="1"/>
  <c r="K5" i="25"/>
  <c r="K8" i="25" l="1"/>
  <c r="L5" i="25"/>
  <c r="L8" i="25" l="1"/>
  <c r="M5" i="25"/>
  <c r="M8" i="25" l="1"/>
  <c r="N5" i="25"/>
  <c r="N8" i="25" l="1"/>
  <c r="O5" i="25"/>
  <c r="O8" i="25" l="1"/>
  <c r="P5" i="25"/>
  <c r="P8" i="25" l="1"/>
  <c r="Q5" i="25"/>
  <c r="Q8" i="25" l="1"/>
  <c r="R5" i="25"/>
  <c r="R8" i="25" l="1"/>
  <c r="S5" i="25"/>
  <c r="S8" i="25" l="1"/>
  <c r="T5" i="25"/>
  <c r="T8" i="25" l="1"/>
  <c r="U5" i="25"/>
  <c r="U8" i="25" l="1"/>
  <c r="V5" i="25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<sst xmlns="http://schemas.openxmlformats.org/spreadsheetml/2006/main" count="554" uniqueCount="274">
  <si>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</si>
  <si>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</si>
  <si>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</si>
  <si>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</si>
  <si>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</si>
  <si>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</si>
  <si>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</si>
  <si>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</si>
  <si>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</si>
  <si>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</si>
  <si>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</si>
  <si>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</si>
  <si>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</si>
  <si>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</si>
  <si>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</si>
  <si>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</si>
  <si>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</si>
  <si>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</si>
  <si>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</si>
  <si>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</si>
  <si>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</si>
  <si>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</si>
  <si>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</si>
  <si>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</si>
  <si>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</si>
  <si>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</si>
  <si>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</si>
  <si>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</si>
  <si>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</si>
  <si>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</si>
  <si>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</si>
  <si>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</si>
  <si>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</si>
  <si>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</si>
  <si>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</si>
  <si>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</si>
  <si>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</si>
  <si>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</si>
  <si>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</si>
  <si>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</si>
  <si>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</si>
  <si>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</si>
  <si>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</si>
  <si>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</si>
  <si>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</si>
  <si>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</si>
  <si>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</si>
  <si>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</si>
  <si>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</si>
  <si>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</si>
  <si>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</si>
  <si>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</si>
  <si>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</si>
  <si>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</si>
  <si>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</si>
  <si>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</si>
  <si>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</si>
  <si>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</si>
  <si>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</si>
  <si>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</si>
  <si>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</si>
  <si>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</si>
  <si>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</si>
  <si>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</si>
  <si>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</si>
  <si>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</si>
  <si>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</si>
  <si>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</si>
  <si>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</si>
  <si>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</si>
  <si>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</si>
  <si>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</si>
  <si>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</si>
  <si>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</si>
  <si>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</si>
  <si>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</si>
  <si>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</si>
  <si>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</si>
  <si>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</si>
  <si>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</si>
  <si>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</si>
  <si>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</si>
  <si>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</si>
  <si>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</si>
  <si>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</si>
  <si>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</si>
  <si>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</si>
  <si>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</si>
  <si>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</si>
  <si>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</si>
  <si>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</si>
  <si>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</si>
  <si>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</si>
  <si>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</si>
  <si>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</si>
  <si>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</si>
  <si>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</si>
  <si>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</si>
  <si>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</si>
  <si>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</si>
  <si>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</si>
  <si>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</si>
  <si>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</si>
  <si>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</si>
  <si>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</si>
  <si>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</si>
  <si>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</si>
  <si>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</si>
  <si>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</si>
  <si>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</si>
  <si>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</si>
  <si>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</si>
  <si>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</si>
  <si>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</si>
  <si>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</si>
  <si>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</si>
  <si>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</si>
  <si>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</si>
  <si>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</si>
  <si>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</si>
  <si>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</si>
  <si>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</si>
  <si>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</si>
  <si>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</si>
  <si>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</si>
  <si>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</si>
  <si>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</si>
  <si>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</si>
  <si>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</si>
  <si>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</si>
  <si>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</si>
  <si>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</si>
  <si>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</si>
  <si>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</si>
  <si>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</si>
  <si>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</si>
  <si>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</si>
  <si>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</si>
  <si>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</si>
  <si>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</si>
  <si>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</si>
  <si>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</si>
  <si>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</si>
  <si>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</si>
  <si>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</si>
  <si>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</si>
  <si>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</si>
  <si>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</si>
  <si>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</si>
  <si>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</si>
  <si>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</si>
  <si>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</si>
  <si>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</si>
  <si>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</si>
  <si>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</si>
  <si>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</si>
  <si>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</si>
  <si>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</si>
  <si>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</si>
  <si>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</si>
  <si>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</si>
  <si>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</si>
  <si>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</si>
  <si>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</si>
  <si>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</si>
  <si>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</si>
  <si>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</si>
  <si>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</si>
  <si>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</si>
  <si>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</si>
  <si>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</si>
  <si>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</si>
  <si>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</si>
  <si>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</si>
  <si>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</si>
  <si>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</si>
  <si>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</si>
  <si>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</si>
  <si>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</si>
  <si>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</si>
  <si>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</si>
  <si>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</si>
  <si>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</si>
  <si>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</si>
  <si>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</si>
  <si>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</si>
  <si>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</si>
  <si>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</si>
  <si>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</si>
  <si>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</si>
  <si>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</si>
  <si>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</si>
  <si>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</si>
  <si>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</si>
  <si>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</si>
  <si>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</si>
  <si>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</si>
  <si>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</si>
  <si>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</si>
  <si>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</si>
  <si>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</si>
  <si>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</si>
  <si>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</si>
  <si>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</si>
  <si>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</si>
  <si>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</si>
  <si>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</si>
  <si>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</si>
  <si>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</si>
  <si>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</si>
  <si>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</si>
  <si>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</si>
  <si>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</si>
  <si>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manipular os dados registrados PARA a administração de cada projeto. </t>
  </si>
  <si>
    <t xml:space="preserve">Eu COMO usuário DESEJO a funcionalidade CREATE, PARA acrescentar novos dados ao sistema. </t>
  </si>
  <si>
    <t xml:space="preserve">Eu COMO usuário DESEJO a funcionalidade READ, PARA acessar os dados ao sistema. </t>
  </si>
  <si>
    <t xml:space="preserve">Eu COMO usuário DESEJO a funcionalidade UPDATE, PARA atualizar os dados do sistema. </t>
  </si>
  <si>
    <t xml:space="preserve">Eu COMO usuário DESEJO a funcionalidade DELETE, PARA deletar dados do sistema. </t>
  </si>
  <si>
    <t>Eu COMO usuário, DESEJO visualizar as horas anuais gastas nos projetos, PARA sugerir tempo gasto em projetos futuros de mesmo complexidade.</t>
  </si>
  <si>
    <t xml:space="preserve">Eu COMO usuário, DESEJO visualizar a quantidade de horas por projeto, PARA obter desta forma um parâmetro em projetos futuros com perfis semelhantes. </t>
  </si>
  <si>
    <t xml:space="preserve">Eu COMO usuário, DESEJO visualizar a porcentagem de dedicação de cada integrante da equipe, PARA obter um parâmetro na avaliação individual.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</si>
  <si>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</si>
  <si>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</si>
  <si>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</si>
  <si>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</si>
  <si>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</si>
  <si>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</si>
  <si>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</si>
  <si>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</si>
  <si>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</si>
  <si>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</si>
  <si>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</si>
  <si>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</si>
  <si>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5.3</t>
  </si>
  <si>
    <t>5.4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</si>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</sst>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7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72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0" fontId="2" fillId="0" borderId="1" xfId="0" applyFont="1" applyBorder="1" applyAlignment="1">
      <alignment vertical="center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" xfId="0" applyFont="1" applyBorder="1" applyAlignment="1">
      <alignment vertical="center"/>
    </xf>
    <xf numFmtId="1" fontId="0" fillId="0" borderId="1" xfId="0" applyNumberFormat="1" applyFont="1" applyBorder="1" applyAlignment="1">
      <alignment vertic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72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86</c:v>
                </c:pt>
                <c:pt idx="1">
                  <c:v>86</c:v>
                </c:pt>
                <c:pt idx="2">
                  <c:v>83</c:v>
                </c:pt>
                <c:pt idx="3">
                  <c:v>80</c:v>
                </c:pt>
                <c:pt idx="4">
                  <c:v>77</c:v>
                </c:pt>
                <c:pt idx="5">
                  <c:v>74</c:v>
                </c:pt>
                <c:pt idx="6">
                  <c:v>68</c:v>
                </c:pt>
                <c:pt idx="7">
                  <c:v>61</c:v>
                </c:pt>
                <c:pt idx="8">
                  <c:v>55</c:v>
                </c:pt>
                <c:pt idx="9">
                  <c:v>50</c:v>
                </c:pt>
                <c:pt idx="10">
                  <c:v>46</c:v>
                </c:pt>
                <c:pt idx="11">
                  <c:v>44</c:v>
                </c:pt>
                <c:pt idx="12">
                  <c:v>42</c:v>
                </c:pt>
                <c:pt idx="13">
                  <c:v>36</c:v>
                </c:pt>
                <c:pt idx="14">
                  <c:v>27</c:v>
                </c:pt>
                <c:pt idx="15">
                  <c:v>18</c:v>
                </c:pt>
                <c:pt idx="16">
                  <c:v>14</c:v>
                </c:pt>
                <c:pt idx="17">
                  <c:v>6</c:v>
                </c:pt>
                <c:pt idx="18">
                  <c:v>2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86</c:v>
                </c:pt>
                <c:pt idx="1">
                  <c:v>81.473684210526315</c:v>
                </c:pt>
                <c:pt idx="2">
                  <c:v>76.94736842105263</c:v>
                </c:pt>
                <c:pt idx="3">
                  <c:v>72.421052631578945</c:v>
                </c:pt>
                <c:pt idx="4">
                  <c:v>67.89473684210526</c:v>
                </c:pt>
                <c:pt idx="5">
                  <c:v>63.368421052631575</c:v>
                </c:pt>
                <c:pt idx="6">
                  <c:v>58.84210526315789</c:v>
                </c:pt>
                <c:pt idx="7">
                  <c:v>54.315789473684205</c:v>
                </c:pt>
                <c:pt idx="8">
                  <c:v>49.78947368421052</c:v>
                </c:pt>
                <c:pt idx="9">
                  <c:v>45.263157894736835</c:v>
                </c:pt>
                <c:pt idx="10">
                  <c:v>40.73684210526315</c:v>
                </c:pt>
                <c:pt idx="11">
                  <c:v>36.210526315789465</c:v>
                </c:pt>
                <c:pt idx="12">
                  <c:v>31.68421052631578</c:v>
                </c:pt>
                <c:pt idx="13">
                  <c:v>27.157894736842096</c:v>
                </c:pt>
                <c:pt idx="14">
                  <c:v>22.631578947368411</c:v>
                </c:pt>
                <c:pt idx="15">
                  <c:v>18.105263157894726</c:v>
                </c:pt>
                <c:pt idx="16">
                  <c:v>13.578947368421041</c:v>
                </c:pt>
                <c:pt idx="17">
                  <c:v>9.0526315789473557</c:v>
                </c:pt>
                <c:pt idx="18">
                  <c:v>4.5263157894736716</c:v>
                </c:pt>
                <c:pt idx="19">
                  <c:v>-1.2434497875801753E-14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Guilherme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SPRINT1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%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71" dataDxfId="70">
  <autoFilter ref="C4:J16" xr:uid="{A82FE305-C27C-457D-80CB-CEBBD19252AB}"/>
  <tableColumns count="8">
    <tableColumn id="1" xr3:uid="{8EC7D7B2-931E-4259-85F8-9646B745AB9C}" name="Evento" dataDxfId="69"/>
    <tableColumn id="5" xr3:uid="{34BB05BA-D959-4A7F-BC47-32E99D97A2A1}" name="Data Início" dataDxfId="68"/>
    <tableColumn id="6" xr3:uid="{E660A6CB-1441-4B4C-81C7-8504809644BD}" name="Data Entrega" dataDxfId="67"/>
    <tableColumn id="7" xr3:uid="{890A17A9-6AD0-4F52-BED9-2A7B5DEBAF0D}" name="Valor" dataDxfId="66"/>
    <tableColumn id="9" xr3:uid="{13E25AF1-BAF1-45BC-85A7-FAB976C5603B}" name="Avaliado" dataDxfId="65"/>
    <tableColumn id="4" xr3:uid="{A88EFAEF-7BE4-42C2-8B5B-375163D11085}" name="Data Planning" dataDxfId="64"/>
    <tableColumn id="2" xr3:uid="{7E93B85F-42DC-401C-BA5D-7CE07AB18502}" name="Objetivo" dataDxfId="63"/>
    <tableColumn id="3" xr3:uid="{76EBBE44-1339-4FF9-98E1-ABC83415AD2A}" name="Duração Estimado (d)" dataDxfId="62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61" dataDxfId="60">
  <autoFilter ref="C4:G13" xr:uid="{25878894-F0A8-4374-85DA-B0F17C5D212F}"/>
  <tableColumns count="5">
    <tableColumn id="1" xr3:uid="{47D702F4-B438-460A-B620-478B58CA7E9F}" name="Data de Registro" dataDxfId="59"/>
    <tableColumn id="2" xr3:uid="{AE003982-DC45-4049-B74E-CE3C3E40988D}" name="Colaborador (a)" dataDxfId="58"/>
    <tableColumn id="3" xr3:uid="{BE8558D0-C492-4781-9112-9DE7B9198122}" name="O que fez ontem?" dataDxfId="57"/>
    <tableColumn id="4" xr3:uid="{37975349-691C-4C13-8E04-242B3629FBAD}" name="O que vai fazer hoje?" dataDxfId="56"/>
    <tableColumn id="5" xr3:uid="{6376F944-27A6-4606-9497-2CF4482875B4}" name="Tem algum impedimento?" dataDxfId="55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20" totalsRowShown="0" headerRowDxfId="54" dataDxfId="53">
  <autoFilter ref="C4:C20" xr:uid="{9214C94E-0A94-411D-B459-00CDF3D9E8F2}"/>
  <tableColumns count="1">
    <tableColumn id="1" xr3:uid="{8FB84E9F-A3A6-4BAA-A6A4-56A19E3118E0}" name="SPRINT1" dataDxfId="52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20" totalsRowShown="0" headerRowDxfId="51" dataDxfId="50">
  <autoFilter ref="E4:E20" xr:uid="{42E3C4CB-7C35-431C-9EAC-7AC9F81476F2}"/>
  <tableColumns count="1">
    <tableColumn id="1" xr3:uid="{C1270632-3B56-4290-92BA-093385A5E1C3}" name="SPRINT2" dataDxfId="49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20" totalsRowShown="0" headerRowDxfId="48" dataDxfId="47">
  <autoFilter ref="G4:G20" xr:uid="{4A5F5495-E36C-4391-9C8D-F7D63FB1E862}"/>
  <tableColumns count="1">
    <tableColumn id="1" xr3:uid="{09A67103-6042-4310-89F6-1319DDC9A647}" name="SPRINT3" dataDxfId="46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20" totalsRowShown="0" headerRowDxfId="45" dataDxfId="44">
  <autoFilter ref="I4:I20" xr:uid="{311C97B3-4606-4DA7-8A29-61B0450D99A4}"/>
  <tableColumns count="1">
    <tableColumn id="1" xr3:uid="{07A1E61C-9C57-4545-AD65-F3E6A40CACE2}" name="SPRINT4" dataDxfId="43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42" dataDxfId="41">
  <autoFilter ref="K4:K8" xr:uid="{FD51E08D-04DE-4772-8ABC-000C3AD5CC4F}"/>
  <tableColumns count="1">
    <tableColumn id="1" xr3:uid="{503A7A8E-44DE-48DD-B456-7933001AEFB4}" name="SPRINTS" dataDxfId="40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30" dataDxfId="29">
  <autoFilter ref="C4:N75" xr:uid="{7E414E52-ECEF-471C-A190-F777CF080EC0}"/>
  <sortState xmlns:xlrd2="http://schemas.microsoft.com/office/spreadsheetml/2017/richdata2" ref="C5:L75">
    <sortCondition ref="L6:L75" customList="Em Atraso,Em Andamento,Em Espera,Transferido,Concluído"/>
    <sortCondition ref="D6:D75"/>
    <sortCondition ref="J6:J75" customList="Essencial,Importante,Desejável"/>
    <sortCondition ref="K6:K75" customList="Alta,Média,Baixa"/>
  </sortState>
  <tableColumns count="12">
    <tableColumn id="1" xr3:uid="{8E8068D2-921F-40B4-9AC0-7B084C20B077}" name="FUNCIONALIDADE" dataDxfId="28"/>
    <tableColumn id="2" xr3:uid="{0FF1891E-49F8-4F83-90B4-4DD8621B2A2D}" name="SPRINT" dataDxfId="27"/>
    <tableColumn id="11" xr3:uid="{8D91D91F-5C27-4A57-A886-256238468055}" name="USER STORY" dataDxfId="26"/>
    <tableColumn id="3" xr3:uid="{B8B1D3D2-AE21-4363-B2A8-9F8427329F93}" name="ATIVIDADE" dataDxfId="25"/>
    <tableColumn id="4" xr3:uid="{5DC8590F-D246-4F1F-8283-B222CB428837}" name="PLANNING POKER" dataDxfId="24"/>
    <tableColumn id="6" xr3:uid="{9D874750-3F10-463C-BC16-978EBEED4DFD}" name="DURAÇÃO" dataDxfId="23">
      <calculatedColumnFormula>IFERROR(VLOOKUP($G5,LGD!$M$5:$N$11,2,0),"")</calculatedColumnFormula>
    </tableColumn>
    <tableColumn id="7" xr3:uid="{CF284E18-51A9-4E15-A5FE-13464E1E178D}" name="COLABORADOR (A)" dataDxfId="22"/>
    <tableColumn id="12" xr3:uid="{21349AE6-2347-4DE2-B83B-D4B523FD4A2F}" name="CATEGORIA" dataDxfId="21"/>
    <tableColumn id="8" xr3:uid="{831EDC5D-70DA-4FAD-A84E-DBF1793D073C}" name="PRIORIDADE" dataDxfId="20"/>
    <tableColumn id="9" xr3:uid="{BA91E7CE-9B27-4176-AA72-7C35AE52D31B}" name="STATUS" dataDxfId="19"/>
    <tableColumn id="5" xr3:uid="{83D08DF9-9C66-4573-90AB-0E15BD6F0D54}" name="DATA INÍCIO" dataDxfId="18"/>
    <tableColumn id="10" xr3:uid="{1B91932A-9D30-48EE-B750-05F18EB46F14}" name="DATA TÉRMINO" dataDxfId="17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5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31"/>
      <c r="E1" s="131"/>
      <c r="F1" s="131"/>
      <c r="G1" s="131"/>
      <c r="H1" s="131"/>
      <c r="I1" s="131"/>
      <c r="J1" s="131"/>
      <c r="K1" s="131"/>
      <c r="L1" s="131"/>
      <c r="M1" s="131"/>
    </row>
    <row r="2" spans="1:13" ht="33" customHeight="1" x14ac:dyDescent="0.2">
      <c r="A2" s="7"/>
      <c r="B2" s="7"/>
      <c r="C2" s="7"/>
      <c r="D2" s="132"/>
      <c r="E2" s="132"/>
      <c r="F2" s="132"/>
      <c r="G2" s="132"/>
      <c r="H2" s="132"/>
      <c r="I2" s="132"/>
      <c r="J2" s="132"/>
      <c r="K2" s="132"/>
      <c r="L2" s="132"/>
      <c r="M2" s="132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showRowColHeaders="0" workbookViewId="0">
      <pane xSplit="17" ySplit="2" topLeftCell="R3" activePane="bottomRight" state="frozen"/>
      <selection activeCell="J22" sqref="J22"/>
      <selection pane="topRight" activeCell="J22" sqref="J22"/>
      <selection pane="bottomLeft" activeCell="J22" sqref="J22"/>
      <selection pane="bottomRight" activeCell="M14" sqref="M14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18.42578125" style="1" bestFit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246</v>
      </c>
      <c r="R4" s="38" t="s">
        <v>0</v>
      </c>
    </row>
    <row r="5" spans="1:18" x14ac:dyDescent="0.2">
      <c r="C5" s="40" t="s">
        <v>19</v>
      </c>
      <c r="E5" s="40" t="s">
        <v>250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247</v>
      </c>
      <c r="R5" s="40" t="s">
        <v>80</v>
      </c>
    </row>
    <row r="6" spans="1:18" x14ac:dyDescent="0.2">
      <c r="C6" s="40" t="s">
        <v>44</v>
      </c>
      <c r="E6" s="40" t="s">
        <v>251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248</v>
      </c>
      <c r="R6" s="40" t="s">
        <v>81</v>
      </c>
    </row>
    <row r="7" spans="1:18" x14ac:dyDescent="0.2">
      <c r="C7" s="40" t="s">
        <v>10</v>
      </c>
      <c r="E7" s="40" t="s">
        <v>252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249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/>
      <c r="N12"/>
    </row>
    <row r="13" spans="1:18" ht="15" x14ac:dyDescent="0.25">
      <c r="E13"/>
      <c r="K13" s="40" t="s">
        <v>100</v>
      </c>
    </row>
    <row r="14" spans="1:18" ht="15" x14ac:dyDescent="0.25">
      <c r="E14"/>
      <c r="K14" s="101" t="s">
        <v>239</v>
      </c>
    </row>
    <row r="15" spans="1:18" ht="15" x14ac:dyDescent="0.25">
      <c r="E15"/>
      <c r="K15" s="101" t="s">
        <v>240</v>
      </c>
    </row>
    <row r="16" spans="1:18" ht="15" x14ac:dyDescent="0.25">
      <c r="E16"/>
      <c r="K16" s="101" t="s">
        <v>243</v>
      </c>
    </row>
    <row r="17" spans="5:11" ht="15" x14ac:dyDescent="0.25">
      <c r="E17"/>
      <c r="K17" s="101" t="s">
        <v>241</v>
      </c>
    </row>
    <row r="18" spans="5:11" ht="15" x14ac:dyDescent="0.25">
      <c r="E18"/>
      <c r="K18" s="101" t="s">
        <v>242</v>
      </c>
    </row>
    <row r="19" spans="5:11" ht="29.25" x14ac:dyDescent="0.25">
      <c r="E19"/>
      <c r="K19" s="129" t="s">
        <v>272</v>
      </c>
    </row>
    <row r="20" spans="5:11" ht="15" x14ac:dyDescent="0.25">
      <c r="E20"/>
      <c r="K20" s="3"/>
    </row>
    <row r="21" spans="5:11" ht="15" x14ac:dyDescent="0.25">
      <c r="E21"/>
      <c r="K21" s="3"/>
    </row>
    <row r="22" spans="5:11" ht="15" x14ac:dyDescent="0.25">
      <c r="E22"/>
      <c r="K22" s="3"/>
    </row>
    <row r="23" spans="5:11" ht="15" x14ac:dyDescent="0.25">
      <c r="E23"/>
      <c r="K23" s="3"/>
    </row>
    <row r="24" spans="5:11" ht="15" x14ac:dyDescent="0.25">
      <c r="E24"/>
      <c r="K24" s="3"/>
    </row>
    <row r="25" spans="5:11" ht="15" x14ac:dyDescent="0.25">
      <c r="E25"/>
      <c r="K25" s="3"/>
    </row>
    <row r="26" spans="5:11" ht="15" x14ac:dyDescent="0.25">
      <c r="E26"/>
      <c r="K26" s="3"/>
    </row>
    <row r="27" spans="5:11" ht="15" x14ac:dyDescent="0.25">
      <c r="E27"/>
      <c r="K27" s="3"/>
    </row>
    <row r="28" spans="5:11" ht="15" x14ac:dyDescent="0.25">
      <c r="E28"/>
      <c r="K28" s="3"/>
    </row>
    <row r="29" spans="5:11" ht="15" x14ac:dyDescent="0.25">
      <c r="E29"/>
      <c r="K29" s="3"/>
    </row>
    <row r="30" spans="5:11" ht="15" x14ac:dyDescent="0.25">
      <c r="E30"/>
      <c r="K30" s="3"/>
    </row>
    <row r="31" spans="5:11" ht="15" x14ac:dyDescent="0.25">
      <c r="E31"/>
      <c r="K31" s="3"/>
    </row>
    <row r="32" spans="5:11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5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33"/>
      <c r="E2" s="133"/>
      <c r="F2" s="133"/>
      <c r="G2" s="133"/>
      <c r="H2" s="133"/>
      <c r="I2" s="133"/>
      <c r="J2" s="133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34" t="s">
        <v>68</v>
      </c>
      <c r="D18" s="134"/>
      <c r="E18" s="134"/>
      <c r="F18" s="134"/>
      <c r="G18" s="134"/>
      <c r="H18" s="134"/>
      <c r="I18" s="134"/>
      <c r="J18" s="134"/>
    </row>
    <row r="19" spans="3:10" x14ac:dyDescent="0.2">
      <c r="C19" s="135"/>
      <c r="D19" s="135"/>
      <c r="E19" s="135"/>
      <c r="F19" s="135"/>
      <c r="G19" s="135"/>
      <c r="H19" s="135"/>
      <c r="I19" s="135"/>
      <c r="J19" s="135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33"/>
      <c r="E2" s="133"/>
      <c r="F2" s="133"/>
      <c r="G2" s="133"/>
      <c r="H2" s="133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34" t="s">
        <v>94</v>
      </c>
      <c r="D15" s="134"/>
      <c r="E15" s="134"/>
      <c r="F15" s="134"/>
      <c r="G15" s="134"/>
    </row>
    <row r="16" spans="1:10" x14ac:dyDescent="0.2">
      <c r="C16" s="135"/>
      <c r="D16" s="135"/>
      <c r="E16" s="135"/>
      <c r="F16" s="135"/>
      <c r="G16" s="135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14" activePane="bottomRight" state="frozen"/>
      <selection activeCell="J22" sqref="J22"/>
      <selection pane="topRight" activeCell="J22" sqref="J22"/>
      <selection pane="bottomLeft" activeCell="J22" sqref="J22"/>
      <selection pane="bottomRight" activeCell="G3" sqref="G3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6" t="s">
        <v>163</v>
      </c>
      <c r="I5" s="16" t="s">
        <v>166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164</v>
      </c>
      <c r="I6" s="16" t="s">
        <v>167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165</v>
      </c>
      <c r="I7" s="16" t="s">
        <v>168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/>
      <c r="I8" s="16" t="s">
        <v>169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/>
      <c r="I9" s="16" t="s">
        <v>170</v>
      </c>
    </row>
    <row r="10" spans="1:24" ht="25.35" customHeight="1" x14ac:dyDescent="0.2">
      <c r="C10" s="16" t="s">
        <v>144</v>
      </c>
      <c r="E10" s="16" t="s">
        <v>159</v>
      </c>
      <c r="G10" s="16"/>
      <c r="I10" s="16" t="s">
        <v>171</v>
      </c>
    </row>
    <row r="11" spans="1:24" ht="25.35" customHeight="1" x14ac:dyDescent="0.2">
      <c r="C11" s="16" t="s">
        <v>145</v>
      </c>
      <c r="E11" s="16" t="s">
        <v>160</v>
      </c>
      <c r="G11" s="16"/>
      <c r="I11" s="16" t="s">
        <v>172</v>
      </c>
    </row>
    <row r="12" spans="1:24" ht="28.5" x14ac:dyDescent="0.2">
      <c r="C12" s="16" t="s">
        <v>146</v>
      </c>
      <c r="E12" s="16" t="s">
        <v>161</v>
      </c>
      <c r="G12" s="16"/>
      <c r="I12" s="16" t="s">
        <v>173</v>
      </c>
    </row>
    <row r="13" spans="1:24" ht="25.35" customHeight="1" x14ac:dyDescent="0.2">
      <c r="C13" s="16" t="s">
        <v>147</v>
      </c>
      <c r="E13" s="16" t="s">
        <v>162</v>
      </c>
      <c r="G13" s="16"/>
      <c r="I13" s="16" t="s">
        <v>174</v>
      </c>
    </row>
    <row r="14" spans="1:24" ht="25.35" customHeight="1" x14ac:dyDescent="0.2">
      <c r="C14" s="16" t="s">
        <v>148</v>
      </c>
      <c r="E14" s="16"/>
      <c r="G14" s="16"/>
      <c r="I14" s="16"/>
    </row>
    <row r="15" spans="1:24" ht="25.35" customHeight="1" x14ac:dyDescent="0.2">
      <c r="C15" s="16" t="s">
        <v>149</v>
      </c>
      <c r="E15" s="16"/>
      <c r="G15" s="16"/>
      <c r="I15" s="16"/>
    </row>
    <row r="16" spans="1:24" ht="25.35" customHeight="1" x14ac:dyDescent="0.2">
      <c r="C16" s="16" t="s">
        <v>150</v>
      </c>
      <c r="E16" s="16"/>
      <c r="G16" s="16"/>
      <c r="I16" s="16"/>
    </row>
    <row r="17" spans="3:9" ht="25.35" customHeight="1" x14ac:dyDescent="0.2">
      <c r="C17" s="16" t="s">
        <v>151</v>
      </c>
      <c r="E17" s="16"/>
      <c r="G17" s="16"/>
      <c r="I17" s="16"/>
    </row>
    <row r="18" spans="3:9" ht="25.35" customHeight="1" x14ac:dyDescent="0.2">
      <c r="C18" s="16" t="s">
        <v>152</v>
      </c>
      <c r="E18" s="16"/>
      <c r="G18" s="16"/>
      <c r="I18" s="16"/>
    </row>
    <row r="19" spans="3:9" ht="25.35" customHeight="1" x14ac:dyDescent="0.2">
      <c r="C19" s="16" t="s">
        <v>153</v>
      </c>
      <c r="E19" s="16"/>
      <c r="G19" s="16"/>
      <c r="I19" s="16"/>
    </row>
    <row r="20" spans="3:9" ht="25.35" customHeight="1" x14ac:dyDescent="0.2">
      <c r="C20" s="16"/>
      <c r="E20" s="16"/>
      <c r="G20" s="16"/>
      <c r="I20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36" t="s">
        <v>273</v>
      </c>
      <c r="E23" s="136"/>
      <c r="G23" s="136"/>
      <c r="I23" s="136"/>
    </row>
    <row r="24" spans="3:9" x14ac:dyDescent="0.2">
      <c r="C24" s="137"/>
      <c r="E24" s="137"/>
      <c r="G24" s="137"/>
      <c r="I24" s="137"/>
    </row>
    <row r="25" spans="3:9" x14ac:dyDescent="0.2">
      <c r="C25" s="137"/>
      <c r="E25" s="137"/>
      <c r="G25" s="137"/>
      <c r="I25" s="137"/>
    </row>
    <row r="26" spans="3:9" x14ac:dyDescent="0.2">
      <c r="C26" s="137"/>
      <c r="E26" s="137"/>
      <c r="G26" s="137"/>
      <c r="I26" s="137"/>
    </row>
    <row r="27" spans="3:9" x14ac:dyDescent="0.2">
      <c r="C27" s="137"/>
      <c r="E27" s="137"/>
      <c r="G27" s="137"/>
      <c r="I27" s="137"/>
    </row>
    <row r="28" spans="3:9" x14ac:dyDescent="0.2">
      <c r="C28" s="137"/>
      <c r="E28" s="137"/>
      <c r="G28" s="137"/>
      <c r="I28" s="137"/>
    </row>
    <row r="29" spans="3:9" x14ac:dyDescent="0.2">
      <c r="C29" s="137"/>
      <c r="E29" s="137"/>
      <c r="G29" s="137"/>
      <c r="I29" s="137"/>
    </row>
    <row r="30" spans="3:9" x14ac:dyDescent="0.2">
      <c r="C30" s="137"/>
      <c r="E30" s="137"/>
      <c r="G30" s="137"/>
      <c r="I30" s="137"/>
    </row>
    <row r="31" spans="3:9" x14ac:dyDescent="0.2">
      <c r="C31" s="137"/>
      <c r="E31" s="137"/>
      <c r="G31" s="137"/>
      <c r="I31" s="137"/>
    </row>
    <row r="32" spans="3:9" x14ac:dyDescent="0.2">
      <c r="C32" s="137"/>
      <c r="E32" s="137"/>
      <c r="G32" s="137"/>
      <c r="I32" s="137"/>
    </row>
    <row r="33" spans="3:9" x14ac:dyDescent="0.2">
      <c r="C33" s="137"/>
      <c r="E33" s="137"/>
      <c r="G33" s="137"/>
      <c r="I33" s="137"/>
    </row>
    <row r="34" spans="3:9" x14ac:dyDescent="0.2">
      <c r="C34" s="137"/>
      <c r="E34" s="137"/>
      <c r="G34" s="137"/>
      <c r="I34" s="137"/>
    </row>
    <row r="35" spans="3:9" x14ac:dyDescent="0.2">
      <c r="C35" s="137"/>
      <c r="E35" s="137"/>
      <c r="G35" s="137"/>
      <c r="I35" s="137"/>
    </row>
    <row r="36" spans="3:9" x14ac:dyDescent="0.2">
      <c r="C36" s="137"/>
      <c r="E36" s="137"/>
      <c r="G36" s="137"/>
      <c r="I36" s="137"/>
    </row>
    <row r="37" spans="3:9" x14ac:dyDescent="0.2">
      <c r="C37" s="137"/>
      <c r="E37" s="137"/>
      <c r="G37" s="137"/>
      <c r="I37" s="137"/>
    </row>
    <row r="38" spans="3:9" x14ac:dyDescent="0.2">
      <c r="C38" s="137"/>
      <c r="E38" s="137"/>
      <c r="G38" s="137"/>
      <c r="I38" s="137"/>
    </row>
    <row r="39" spans="3:9" x14ac:dyDescent="0.2">
      <c r="C39" s="137"/>
      <c r="E39" s="137"/>
      <c r="G39" s="137"/>
      <c r="I39" s="137"/>
    </row>
    <row r="40" spans="3:9" x14ac:dyDescent="0.2">
      <c r="C40" s="137"/>
      <c r="E40" s="137"/>
      <c r="G40" s="137"/>
      <c r="I40" s="137"/>
    </row>
    <row r="41" spans="3:9" x14ac:dyDescent="0.2">
      <c r="C41" s="137"/>
      <c r="E41" s="137"/>
      <c r="G41" s="137"/>
      <c r="I41" s="137"/>
    </row>
    <row r="42" spans="3:9" x14ac:dyDescent="0.2">
      <c r="C42" s="138"/>
      <c r="E42" s="138"/>
      <c r="G42" s="138"/>
      <c r="I42" s="138"/>
    </row>
  </sheetData>
  <mergeCells count="4">
    <mergeCell ref="I23:I42"/>
    <mergeCell ref="G23:G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Y88"/>
  <sheetViews>
    <sheetView showGridLines="0" showRowColHeaders="0" zoomScale="80" zoomScaleNormal="80" workbookViewId="0">
      <pane xSplit="15" ySplit="4" topLeftCell="P14" activePane="bottomRight" state="frozen"/>
      <selection pane="topRight" activeCell="P1" sqref="P1"/>
      <selection pane="bottomLeft" activeCell="A5" sqref="A5"/>
      <selection pane="bottomRight" activeCell="G15" sqref="G15:G18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1.7109375" style="1" customWidth="1"/>
    <col min="8" max="8" width="12.7109375" style="1" customWidth="1"/>
    <col min="9" max="9" width="20.710937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3" max="16384" width="9.140625" style="1"/>
  </cols>
  <sheetData>
    <row r="1" spans="1:25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5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5" ht="15.75" customHeight="1" x14ac:dyDescent="0.25"/>
    <row r="4" spans="1:25" ht="32.25" customHeight="1" x14ac:dyDescent="0.25">
      <c r="C4" s="100" t="s">
        <v>189</v>
      </c>
      <c r="D4" s="42" t="s">
        <v>102</v>
      </c>
      <c r="E4" s="42" t="s">
        <v>244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245</v>
      </c>
      <c r="K4" s="42" t="s">
        <v>76</v>
      </c>
      <c r="L4" s="42" t="s">
        <v>105</v>
      </c>
      <c r="M4" s="112" t="s">
        <v>263</v>
      </c>
      <c r="N4" s="112" t="s">
        <v>264</v>
      </c>
      <c r="O4" s="1"/>
      <c r="P4" s="1"/>
      <c r="Q4" s="1"/>
      <c r="W4"/>
      <c r="X4"/>
      <c r="Y4"/>
    </row>
    <row r="5" spans="1:25" ht="32.25" customHeight="1" x14ac:dyDescent="0.25">
      <c r="C5" s="92">
        <v>0</v>
      </c>
      <c r="D5" s="92" t="s">
        <v>95</v>
      </c>
      <c r="E5" s="93" t="s">
        <v>175</v>
      </c>
      <c r="F5" s="93" t="s">
        <v>139</v>
      </c>
      <c r="G5" s="92">
        <v>8</v>
      </c>
      <c r="H5" s="92">
        <f>IFERROR(VLOOKUP($G5,LGD!$M$5:$N$11,2,0),"")</f>
        <v>16</v>
      </c>
      <c r="I5" s="92" t="s">
        <v>239</v>
      </c>
      <c r="J5" s="92" t="s">
        <v>247</v>
      </c>
      <c r="K5" s="92" t="s">
        <v>250</v>
      </c>
      <c r="L5" s="92" t="s">
        <v>46</v>
      </c>
      <c r="M5" s="111">
        <v>44266</v>
      </c>
      <c r="N5" s="111">
        <v>44273</v>
      </c>
      <c r="O5" s="1"/>
      <c r="P5" s="1"/>
      <c r="Q5" s="1"/>
      <c r="W5"/>
      <c r="X5"/>
      <c r="Y5"/>
    </row>
    <row r="6" spans="1:25" ht="47.25" x14ac:dyDescent="0.25">
      <c r="C6" s="92" t="s">
        <v>190</v>
      </c>
      <c r="D6" s="92" t="s">
        <v>95</v>
      </c>
      <c r="E6" s="93" t="s">
        <v>176</v>
      </c>
      <c r="F6" s="93" t="s">
        <v>140</v>
      </c>
      <c r="G6" s="92">
        <v>5</v>
      </c>
      <c r="H6" s="92">
        <f>IFERROR(VLOOKUP($G6,LGD!$M$5:$N$11,2,0),"")</f>
        <v>8</v>
      </c>
      <c r="I6" s="92" t="s">
        <v>239</v>
      </c>
      <c r="J6" s="92" t="s">
        <v>247</v>
      </c>
      <c r="K6" s="92" t="s">
        <v>250</v>
      </c>
      <c r="L6" s="92" t="s">
        <v>46</v>
      </c>
      <c r="M6" s="111">
        <v>44266</v>
      </c>
      <c r="N6" s="111">
        <v>44273</v>
      </c>
      <c r="O6" s="1"/>
      <c r="P6" s="1"/>
      <c r="Q6" s="1"/>
      <c r="W6"/>
      <c r="X6"/>
      <c r="Y6"/>
    </row>
    <row r="7" spans="1:25" ht="31.5" x14ac:dyDescent="0.25">
      <c r="C7" s="126">
        <v>4</v>
      </c>
      <c r="D7" s="126" t="s">
        <v>95</v>
      </c>
      <c r="E7" s="127" t="s">
        <v>180</v>
      </c>
      <c r="F7" s="127" t="s">
        <v>144</v>
      </c>
      <c r="G7" s="126">
        <v>3</v>
      </c>
      <c r="H7" s="126">
        <f>IFERROR(VLOOKUP($G7,LGD!$M$5:$N$11,2,0),"")</f>
        <v>6</v>
      </c>
      <c r="I7" s="130" t="s">
        <v>272</v>
      </c>
      <c r="J7" s="126" t="s">
        <v>248</v>
      </c>
      <c r="K7" s="92" t="s">
        <v>250</v>
      </c>
      <c r="L7" s="126" t="s">
        <v>46</v>
      </c>
      <c r="M7" s="128">
        <v>44277</v>
      </c>
      <c r="N7" s="128">
        <v>44281</v>
      </c>
      <c r="O7" s="1"/>
      <c r="P7" s="1"/>
      <c r="Q7" s="1"/>
      <c r="W7"/>
      <c r="X7"/>
      <c r="Y7"/>
    </row>
    <row r="8" spans="1:25" ht="47.25" x14ac:dyDescent="0.25">
      <c r="C8" s="92" t="s">
        <v>193</v>
      </c>
      <c r="D8" s="92" t="s">
        <v>95</v>
      </c>
      <c r="E8" s="93" t="s">
        <v>181</v>
      </c>
      <c r="F8" s="93" t="s">
        <v>145</v>
      </c>
      <c r="G8" s="92">
        <v>3</v>
      </c>
      <c r="H8" s="92">
        <f>IFERROR(VLOOKUP($G8,LGD!$M$5:$N$11,2,0),"")</f>
        <v>6</v>
      </c>
      <c r="I8" s="130" t="s">
        <v>272</v>
      </c>
      <c r="J8" s="92" t="s">
        <v>249</v>
      </c>
      <c r="K8" s="92" t="s">
        <v>250</v>
      </c>
      <c r="L8" s="92" t="s">
        <v>46</v>
      </c>
      <c r="M8" s="128">
        <v>44277</v>
      </c>
      <c r="N8" s="128">
        <v>44281</v>
      </c>
      <c r="O8" s="1"/>
      <c r="P8" s="1"/>
      <c r="Q8" s="1"/>
      <c r="W8"/>
      <c r="X8"/>
      <c r="Y8"/>
    </row>
    <row r="9" spans="1:25" ht="31.5" x14ac:dyDescent="0.25">
      <c r="C9" s="92" t="s">
        <v>194</v>
      </c>
      <c r="D9" s="92" t="s">
        <v>95</v>
      </c>
      <c r="E9" s="93" t="s">
        <v>182</v>
      </c>
      <c r="F9" s="93" t="s">
        <v>146</v>
      </c>
      <c r="G9" s="92">
        <v>3</v>
      </c>
      <c r="H9" s="92">
        <f>IFERROR(VLOOKUP($G9,LGD!$M$5:$N$11,2,0),"")</f>
        <v>6</v>
      </c>
      <c r="I9" s="130" t="s">
        <v>272</v>
      </c>
      <c r="J9" s="92" t="s">
        <v>249</v>
      </c>
      <c r="K9" s="92" t="s">
        <v>250</v>
      </c>
      <c r="L9" s="92" t="s">
        <v>46</v>
      </c>
      <c r="M9" s="128">
        <v>44277</v>
      </c>
      <c r="N9" s="128">
        <v>44281</v>
      </c>
      <c r="O9" s="1"/>
      <c r="P9" s="1"/>
      <c r="Q9" s="1"/>
      <c r="W9"/>
      <c r="X9"/>
      <c r="Y9"/>
    </row>
    <row r="10" spans="1:25" ht="63" x14ac:dyDescent="0.25">
      <c r="C10" s="92" t="s">
        <v>195</v>
      </c>
      <c r="D10" s="92" t="s">
        <v>95</v>
      </c>
      <c r="E10" s="93" t="s">
        <v>183</v>
      </c>
      <c r="F10" s="93" t="s">
        <v>147</v>
      </c>
      <c r="G10" s="92">
        <v>3</v>
      </c>
      <c r="H10" s="92">
        <f>IFERROR(VLOOKUP($G10,LGD!$M$5:$N$11,2,0),"")</f>
        <v>6</v>
      </c>
      <c r="I10" s="130" t="s">
        <v>272</v>
      </c>
      <c r="J10" s="92" t="s">
        <v>248</v>
      </c>
      <c r="K10" s="92" t="s">
        <v>250</v>
      </c>
      <c r="L10" s="92" t="s">
        <v>46</v>
      </c>
      <c r="M10" s="128">
        <v>44277</v>
      </c>
      <c r="N10" s="128">
        <v>44281</v>
      </c>
      <c r="O10" s="1"/>
      <c r="P10" s="1"/>
      <c r="Q10" s="1"/>
      <c r="W10"/>
      <c r="X10"/>
      <c r="Y10"/>
    </row>
    <row r="11" spans="1:25" ht="47.25" x14ac:dyDescent="0.25">
      <c r="C11" s="92" t="s">
        <v>196</v>
      </c>
      <c r="D11" s="92" t="s">
        <v>95</v>
      </c>
      <c r="E11" s="93" t="s">
        <v>184</v>
      </c>
      <c r="F11" s="93" t="s">
        <v>148</v>
      </c>
      <c r="G11" s="92">
        <v>3</v>
      </c>
      <c r="H11" s="92">
        <f>IFERROR(VLOOKUP($G11,LGD!$M$5:$N$11,2,0),"")</f>
        <v>6</v>
      </c>
      <c r="I11" s="130" t="s">
        <v>272</v>
      </c>
      <c r="J11" s="92" t="s">
        <v>249</v>
      </c>
      <c r="K11" s="92" t="s">
        <v>250</v>
      </c>
      <c r="L11" s="92" t="s">
        <v>46</v>
      </c>
      <c r="M11" s="128">
        <v>44277</v>
      </c>
      <c r="N11" s="128">
        <v>44281</v>
      </c>
      <c r="O11" s="1"/>
      <c r="P11" s="1"/>
      <c r="Q11" s="1"/>
      <c r="W11"/>
      <c r="X11"/>
      <c r="Y11"/>
    </row>
    <row r="12" spans="1:25" ht="47.25" x14ac:dyDescent="0.25">
      <c r="C12" s="92">
        <v>3</v>
      </c>
      <c r="D12" s="92" t="s">
        <v>95</v>
      </c>
      <c r="E12" s="93" t="s">
        <v>177</v>
      </c>
      <c r="F12" s="93" t="s">
        <v>141</v>
      </c>
      <c r="G12" s="92">
        <v>8</v>
      </c>
      <c r="H12" s="92">
        <f>IFERROR(VLOOKUP($G12,LGD!$M$5:$N$11,2,0),"")</f>
        <v>16</v>
      </c>
      <c r="I12" s="92" t="s">
        <v>239</v>
      </c>
      <c r="J12" s="92" t="s">
        <v>249</v>
      </c>
      <c r="K12" s="92" t="s">
        <v>251</v>
      </c>
      <c r="L12" s="92" t="s">
        <v>46</v>
      </c>
      <c r="M12" s="111">
        <v>44270</v>
      </c>
      <c r="N12" s="111">
        <v>44280</v>
      </c>
      <c r="O12" s="1"/>
      <c r="P12" s="1"/>
      <c r="Q12" s="1"/>
      <c r="W12"/>
      <c r="X12"/>
      <c r="Y12"/>
    </row>
    <row r="13" spans="1:25" ht="47.25" x14ac:dyDescent="0.25">
      <c r="C13" s="92" t="s">
        <v>191</v>
      </c>
      <c r="D13" s="92" t="s">
        <v>95</v>
      </c>
      <c r="E13" s="93" t="s">
        <v>178</v>
      </c>
      <c r="F13" s="93" t="s">
        <v>142</v>
      </c>
      <c r="G13" s="92">
        <v>2</v>
      </c>
      <c r="H13" s="92">
        <f>IFERROR(VLOOKUP($G13,LGD!$M$5:$N$11,2,0),"")</f>
        <v>4</v>
      </c>
      <c r="I13" s="92" t="s">
        <v>239</v>
      </c>
      <c r="J13" s="92" t="s">
        <v>249</v>
      </c>
      <c r="K13" s="92" t="s">
        <v>251</v>
      </c>
      <c r="L13" s="92" t="s">
        <v>46</v>
      </c>
      <c r="M13" s="111">
        <v>44270</v>
      </c>
      <c r="N13" s="111">
        <v>44273</v>
      </c>
      <c r="O13" s="1"/>
      <c r="P13" s="1"/>
      <c r="Q13" s="1"/>
      <c r="W13"/>
      <c r="X13"/>
      <c r="Y13"/>
    </row>
    <row r="14" spans="1:25" ht="47.25" x14ac:dyDescent="0.25">
      <c r="C14" s="92" t="s">
        <v>192</v>
      </c>
      <c r="D14" s="92" t="s">
        <v>95</v>
      </c>
      <c r="E14" s="93" t="s">
        <v>179</v>
      </c>
      <c r="F14" s="93" t="s">
        <v>143</v>
      </c>
      <c r="G14" s="92">
        <v>5</v>
      </c>
      <c r="H14" s="92">
        <f>IFERROR(VLOOKUP($G14,LGD!$M$5:$N$11,2,0),"")</f>
        <v>8</v>
      </c>
      <c r="I14" s="92" t="s">
        <v>48</v>
      </c>
      <c r="J14" s="92" t="s">
        <v>249</v>
      </c>
      <c r="K14" s="92" t="s">
        <v>251</v>
      </c>
      <c r="L14" s="92" t="s">
        <v>46</v>
      </c>
      <c r="M14" s="111">
        <v>44279</v>
      </c>
      <c r="N14" s="111">
        <v>44280</v>
      </c>
      <c r="O14" s="1"/>
      <c r="P14" s="1"/>
      <c r="Q14" s="1"/>
      <c r="W14"/>
      <c r="X14"/>
      <c r="Y14"/>
    </row>
    <row r="15" spans="1:25" ht="47.25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1</v>
      </c>
      <c r="H15" s="92">
        <f>IFERROR(VLOOKUP($G15,LGD!$M$5:$N$11,2,0),"")</f>
        <v>1</v>
      </c>
      <c r="I15" s="92" t="s">
        <v>49</v>
      </c>
      <c r="J15" s="92" t="s">
        <v>248</v>
      </c>
      <c r="K15" s="92" t="s">
        <v>250</v>
      </c>
      <c r="L15" s="92" t="s">
        <v>46</v>
      </c>
      <c r="M15" s="111">
        <v>44280</v>
      </c>
      <c r="N15" s="111">
        <v>44280</v>
      </c>
      <c r="O15" s="1"/>
      <c r="P15" s="1"/>
      <c r="Q15" s="1"/>
      <c r="W15"/>
      <c r="X15"/>
      <c r="Y15"/>
    </row>
    <row r="16" spans="1:25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248</v>
      </c>
      <c r="K16" s="92" t="s">
        <v>250</v>
      </c>
      <c r="L16" s="92" t="s">
        <v>46</v>
      </c>
      <c r="M16" s="111">
        <v>44280</v>
      </c>
      <c r="N16" s="111">
        <v>44280</v>
      </c>
      <c r="O16" s="1"/>
      <c r="P16" s="1"/>
      <c r="Q16" s="1"/>
      <c r="W16"/>
      <c r="X16"/>
      <c r="Y16"/>
    </row>
    <row r="17" spans="3:25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248</v>
      </c>
      <c r="K17" s="92" t="s">
        <v>250</v>
      </c>
      <c r="L17" s="92" t="s">
        <v>46</v>
      </c>
      <c r="M17" s="111">
        <v>44280</v>
      </c>
      <c r="N17" s="111">
        <v>44280</v>
      </c>
      <c r="O17" s="1"/>
      <c r="P17" s="1"/>
      <c r="Q17" s="1"/>
      <c r="W17"/>
      <c r="X17"/>
      <c r="Y17"/>
    </row>
    <row r="18" spans="3:25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>
        <v>1</v>
      </c>
      <c r="H18" s="92">
        <f>IFERROR(VLOOKUP($G18,LGD!$M$5:$N$11,2,0),"")</f>
        <v>1</v>
      </c>
      <c r="I18" s="92" t="s">
        <v>49</v>
      </c>
      <c r="J18" s="92" t="s">
        <v>248</v>
      </c>
      <c r="K18" s="92" t="s">
        <v>250</v>
      </c>
      <c r="L18" s="92" t="s">
        <v>46</v>
      </c>
      <c r="M18" s="111">
        <v>44280</v>
      </c>
      <c r="N18" s="111">
        <v>44280</v>
      </c>
      <c r="O18" s="1"/>
      <c r="P18" s="1"/>
      <c r="Q18" s="1"/>
      <c r="W18"/>
      <c r="X18"/>
      <c r="Y18"/>
    </row>
    <row r="19" spans="3:25" ht="94.5" x14ac:dyDescent="0.25">
      <c r="C19" s="92">
        <v>1</v>
      </c>
      <c r="D19" s="92" t="s">
        <v>96</v>
      </c>
      <c r="E19" s="93" t="s">
        <v>201</v>
      </c>
      <c r="F19" s="93" t="s">
        <v>154</v>
      </c>
      <c r="G19" s="92"/>
      <c r="H19" s="92" t="str">
        <f>IFERROR(VLOOKUP($G19,LGD!$M$5:$N$11,2,0),"")</f>
        <v/>
      </c>
      <c r="I19" s="92"/>
      <c r="J19" s="92"/>
      <c r="K19" s="92"/>
      <c r="L19" s="92" t="s">
        <v>50</v>
      </c>
      <c r="M19" s="111"/>
      <c r="N19" s="111"/>
      <c r="O19" s="1"/>
      <c r="P19" s="1"/>
      <c r="Q19" s="1"/>
      <c r="W19"/>
      <c r="X19"/>
      <c r="Y19"/>
    </row>
    <row r="20" spans="3:25" ht="47.25" x14ac:dyDescent="0.25">
      <c r="C20" s="92" t="s">
        <v>222</v>
      </c>
      <c r="D20" s="92" t="s">
        <v>96</v>
      </c>
      <c r="E20" s="93" t="s">
        <v>202</v>
      </c>
      <c r="F20" s="93" t="s">
        <v>155</v>
      </c>
      <c r="G20" s="92"/>
      <c r="H20" s="92" t="str">
        <f>IFERROR(VLOOKUP($G20,LGD!$M$5:$N$11,2,0),"")</f>
        <v/>
      </c>
      <c r="I20" s="92"/>
      <c r="J20" s="92"/>
      <c r="K20" s="92"/>
      <c r="L20" s="92" t="s">
        <v>50</v>
      </c>
      <c r="M20" s="111"/>
      <c r="N20" s="111"/>
      <c r="O20" s="1"/>
      <c r="P20" s="1"/>
      <c r="Q20" s="1"/>
      <c r="W20"/>
      <c r="X20"/>
      <c r="Y20"/>
    </row>
    <row r="21" spans="3:25" ht="47.25" x14ac:dyDescent="0.25">
      <c r="C21" s="92" t="s">
        <v>223</v>
      </c>
      <c r="D21" s="92" t="s">
        <v>96</v>
      </c>
      <c r="E21" s="93" t="s">
        <v>203</v>
      </c>
      <c r="F21" s="93" t="s">
        <v>156</v>
      </c>
      <c r="G21" s="92"/>
      <c r="H21" s="92" t="str">
        <f>IFERROR(VLOOKUP($G21,LGD!$M$5:$N$11,2,0),"")</f>
        <v/>
      </c>
      <c r="I21" s="92"/>
      <c r="J21" s="92"/>
      <c r="K21" s="92"/>
      <c r="L21" s="92" t="s">
        <v>50</v>
      </c>
      <c r="M21" s="111"/>
      <c r="N21" s="111"/>
      <c r="O21" s="1"/>
      <c r="P21" s="1"/>
      <c r="Q21" s="1"/>
      <c r="W21"/>
      <c r="X21"/>
      <c r="Y21"/>
    </row>
    <row r="22" spans="3:25" ht="63" x14ac:dyDescent="0.25">
      <c r="C22" s="92" t="s">
        <v>224</v>
      </c>
      <c r="D22" s="92" t="s">
        <v>96</v>
      </c>
      <c r="E22" s="93" t="s">
        <v>204</v>
      </c>
      <c r="F22" s="93" t="s">
        <v>157</v>
      </c>
      <c r="G22" s="92"/>
      <c r="H22" s="92" t="str">
        <f>IFERROR(VLOOKUP($G22,LGD!$M$5:$N$11,2,0),"")</f>
        <v/>
      </c>
      <c r="I22" s="92"/>
      <c r="J22" s="92"/>
      <c r="K22" s="92"/>
      <c r="L22" s="92" t="s">
        <v>50</v>
      </c>
      <c r="M22" s="111"/>
      <c r="N22" s="111"/>
      <c r="O22" s="1"/>
      <c r="P22" s="1"/>
      <c r="Q22" s="1"/>
      <c r="W22"/>
      <c r="X22"/>
      <c r="Y22"/>
    </row>
    <row r="23" spans="3:25" ht="47.25" x14ac:dyDescent="0.25">
      <c r="C23" s="92" t="s">
        <v>225</v>
      </c>
      <c r="D23" s="92" t="s">
        <v>96</v>
      </c>
      <c r="E23" s="93" t="s">
        <v>205</v>
      </c>
      <c r="F23" s="93" t="s">
        <v>158</v>
      </c>
      <c r="G23" s="92"/>
      <c r="H23" s="92" t="str">
        <f>IFERROR(VLOOKUP($G23,LGD!$M$5:$N$11,2,0),"")</f>
        <v/>
      </c>
      <c r="I23" s="92"/>
      <c r="J23" s="92"/>
      <c r="K23" s="92"/>
      <c r="L23" s="92" t="s">
        <v>50</v>
      </c>
      <c r="M23" s="111"/>
      <c r="N23" s="111"/>
      <c r="O23" s="1"/>
      <c r="P23" s="1"/>
      <c r="Q23" s="1"/>
      <c r="W23"/>
      <c r="X23"/>
      <c r="Y23"/>
    </row>
    <row r="24" spans="3:25" ht="47.25" x14ac:dyDescent="0.25">
      <c r="C24" s="92">
        <v>7</v>
      </c>
      <c r="D24" s="92" t="s">
        <v>96</v>
      </c>
      <c r="E24" s="93" t="s">
        <v>206</v>
      </c>
      <c r="F24" s="93" t="s">
        <v>159</v>
      </c>
      <c r="G24" s="92"/>
      <c r="H24" s="92" t="str">
        <f>IFERROR(VLOOKUP($G24,LGD!$M$5:$N$11,2,0),"")</f>
        <v/>
      </c>
      <c r="I24" s="92"/>
      <c r="J24" s="92"/>
      <c r="K24" s="92"/>
      <c r="L24" s="92" t="s">
        <v>50</v>
      </c>
      <c r="M24" s="111"/>
      <c r="N24" s="111"/>
      <c r="O24" s="1"/>
      <c r="P24" s="1"/>
      <c r="Q24" s="1"/>
      <c r="W24"/>
      <c r="X24"/>
      <c r="Y24"/>
    </row>
    <row r="25" spans="3:25" ht="47.25" x14ac:dyDescent="0.25">
      <c r="C25" s="92" t="s">
        <v>226</v>
      </c>
      <c r="D25" s="92" t="s">
        <v>96</v>
      </c>
      <c r="E25" s="93" t="s">
        <v>207</v>
      </c>
      <c r="F25" s="93" t="s">
        <v>160</v>
      </c>
      <c r="G25" s="92"/>
      <c r="H25" s="92" t="str">
        <f>IFERROR(VLOOKUP($G25,LGD!$M$5:$N$11,2,0),"")</f>
        <v/>
      </c>
      <c r="I25" s="92"/>
      <c r="J25" s="92"/>
      <c r="K25" s="92"/>
      <c r="L25" s="92" t="s">
        <v>50</v>
      </c>
      <c r="M25" s="111"/>
      <c r="N25" s="111"/>
      <c r="O25" s="1"/>
      <c r="P25" s="1"/>
      <c r="Q25" s="1"/>
      <c r="W25"/>
      <c r="X25"/>
      <c r="Y25"/>
    </row>
    <row r="26" spans="3:25" ht="47.25" x14ac:dyDescent="0.25">
      <c r="C26" s="92" t="s">
        <v>227</v>
      </c>
      <c r="D26" s="92" t="s">
        <v>96</v>
      </c>
      <c r="E26" s="93" t="s">
        <v>208</v>
      </c>
      <c r="F26" s="93" t="s">
        <v>161</v>
      </c>
      <c r="G26" s="92"/>
      <c r="H26" s="92" t="str">
        <f>IFERROR(VLOOKUP($G26,LGD!$M$5:$N$11,2,0),"")</f>
        <v/>
      </c>
      <c r="I26" s="92"/>
      <c r="J26" s="92"/>
      <c r="K26" s="92"/>
      <c r="L26" s="92" t="s">
        <v>50</v>
      </c>
      <c r="M26" s="111"/>
      <c r="N26" s="111"/>
      <c r="O26" s="1"/>
      <c r="P26" s="1"/>
      <c r="Q26" s="1"/>
      <c r="W26"/>
      <c r="X26"/>
      <c r="Y26"/>
    </row>
    <row r="27" spans="3:25" ht="78.75" x14ac:dyDescent="0.25">
      <c r="C27" s="92" t="s">
        <v>228</v>
      </c>
      <c r="D27" s="92" t="s">
        <v>96</v>
      </c>
      <c r="E27" s="93" t="s">
        <v>209</v>
      </c>
      <c r="F27" s="93" t="s">
        <v>162</v>
      </c>
      <c r="G27" s="92"/>
      <c r="H27" s="92" t="str">
        <f>IFERROR(VLOOKUP($G27,LGD!$M$5:$N$11,2,0),"")</f>
        <v/>
      </c>
      <c r="I27" s="92"/>
      <c r="J27" s="92"/>
      <c r="K27" s="92"/>
      <c r="L27" s="92" t="s">
        <v>50</v>
      </c>
      <c r="M27" s="111"/>
      <c r="N27" s="111"/>
      <c r="O27" s="1"/>
      <c r="P27" s="1"/>
      <c r="Q27" s="1"/>
      <c r="W27"/>
      <c r="X27"/>
      <c r="Y27"/>
    </row>
    <row r="28" spans="3:25" ht="47.25" x14ac:dyDescent="0.25">
      <c r="C28" s="92">
        <v>2</v>
      </c>
      <c r="D28" s="92" t="s">
        <v>97</v>
      </c>
      <c r="E28" s="93" t="s">
        <v>210</v>
      </c>
      <c r="F28" s="93" t="s">
        <v>163</v>
      </c>
      <c r="G28" s="92"/>
      <c r="H28" s="92" t="str">
        <f>IFERROR(VLOOKUP($G28,LGD!$M$5:$N$11,2,0),"")</f>
        <v/>
      </c>
      <c r="I28" s="92"/>
      <c r="J28" s="92"/>
      <c r="K28" s="92"/>
      <c r="L28" s="92" t="s">
        <v>50</v>
      </c>
      <c r="M28" s="111"/>
      <c r="N28" s="111"/>
      <c r="O28" s="1"/>
      <c r="P28" s="1"/>
      <c r="Q28" s="1"/>
      <c r="W28"/>
      <c r="X28"/>
      <c r="Y28"/>
    </row>
    <row r="29" spans="3:25" ht="31.5" x14ac:dyDescent="0.25">
      <c r="C29" s="92" t="s">
        <v>229</v>
      </c>
      <c r="D29" s="92" t="s">
        <v>97</v>
      </c>
      <c r="E29" s="93" t="s">
        <v>211</v>
      </c>
      <c r="F29" s="93" t="s">
        <v>164</v>
      </c>
      <c r="G29" s="92"/>
      <c r="H29" s="92" t="str">
        <f>IFERROR(VLOOKUP($G29,LGD!$M$5:$N$11,2,0),"")</f>
        <v/>
      </c>
      <c r="I29" s="92"/>
      <c r="J29" s="92"/>
      <c r="K29" s="92"/>
      <c r="L29" s="92" t="s">
        <v>50</v>
      </c>
      <c r="M29" s="111"/>
      <c r="N29" s="111"/>
      <c r="O29" s="1"/>
      <c r="P29" s="1"/>
      <c r="Q29" s="1"/>
      <c r="W29"/>
      <c r="X29"/>
      <c r="Y29"/>
    </row>
    <row r="30" spans="3:25" ht="31.5" x14ac:dyDescent="0.25">
      <c r="C30" s="92" t="s">
        <v>230</v>
      </c>
      <c r="D30" s="92" t="s">
        <v>97</v>
      </c>
      <c r="E30" s="93" t="s">
        <v>212</v>
      </c>
      <c r="F30" s="93" t="s">
        <v>165</v>
      </c>
      <c r="G30" s="92"/>
      <c r="H30" s="92" t="str">
        <f>IFERROR(VLOOKUP($G30,LGD!$M$5:$N$11,2,0),"")</f>
        <v/>
      </c>
      <c r="I30" s="92"/>
      <c r="J30" s="92"/>
      <c r="K30" s="92"/>
      <c r="L30" s="92" t="s">
        <v>50</v>
      </c>
      <c r="M30" s="111"/>
      <c r="N30" s="111"/>
      <c r="O30" s="1"/>
      <c r="P30" s="1"/>
      <c r="Q30" s="1"/>
      <c r="W30"/>
      <c r="X30"/>
      <c r="Y30"/>
    </row>
    <row r="31" spans="3:25" ht="47.25" x14ac:dyDescent="0.25">
      <c r="C31" s="92">
        <v>5</v>
      </c>
      <c r="D31" s="92" t="s">
        <v>98</v>
      </c>
      <c r="E31" s="93" t="s">
        <v>213</v>
      </c>
      <c r="F31" s="93" t="s">
        <v>166</v>
      </c>
      <c r="G31" s="92"/>
      <c r="H31" s="92" t="str">
        <f>IFERROR(VLOOKUP($G31,LGD!$M$5:$N$11,2,0),"")</f>
        <v/>
      </c>
      <c r="I31" s="92"/>
      <c r="J31" s="92"/>
      <c r="K31" s="92"/>
      <c r="L31" s="92" t="s">
        <v>50</v>
      </c>
      <c r="M31" s="111"/>
      <c r="N31" s="111"/>
      <c r="O31" s="1"/>
      <c r="P31" s="1"/>
      <c r="Q31" s="1"/>
      <c r="W31"/>
      <c r="X31"/>
      <c r="Y31"/>
    </row>
    <row r="32" spans="3:25" ht="47.25" x14ac:dyDescent="0.25">
      <c r="C32" s="92" t="s">
        <v>231</v>
      </c>
      <c r="D32" s="92" t="s">
        <v>98</v>
      </c>
      <c r="E32" s="93" t="s">
        <v>214</v>
      </c>
      <c r="F32" s="93" t="s">
        <v>167</v>
      </c>
      <c r="G32" s="92"/>
      <c r="H32" s="92" t="str">
        <f>IFERROR(VLOOKUP($G32,LGD!$M$5:$N$11,2,0),"")</f>
        <v/>
      </c>
      <c r="I32" s="92"/>
      <c r="J32" s="92"/>
      <c r="K32" s="92"/>
      <c r="L32" s="92" t="s">
        <v>50</v>
      </c>
      <c r="M32" s="111"/>
      <c r="N32" s="111"/>
      <c r="O32" s="1"/>
      <c r="P32" s="1"/>
      <c r="Q32" s="1"/>
      <c r="W32"/>
      <c r="X32"/>
      <c r="Y32"/>
    </row>
    <row r="33" spans="3:25" ht="31.5" x14ac:dyDescent="0.25">
      <c r="C33" s="92" t="s">
        <v>232</v>
      </c>
      <c r="D33" s="92" t="s">
        <v>98</v>
      </c>
      <c r="E33" s="93" t="s">
        <v>215</v>
      </c>
      <c r="F33" s="93" t="s">
        <v>168</v>
      </c>
      <c r="G33" s="92"/>
      <c r="H33" s="92" t="str">
        <f>IFERROR(VLOOKUP($G33,LGD!$M$5:$N$11,2,0),"")</f>
        <v/>
      </c>
      <c r="I33" s="92"/>
      <c r="J33" s="92"/>
      <c r="K33" s="92"/>
      <c r="L33" s="92" t="s">
        <v>50</v>
      </c>
      <c r="M33" s="111"/>
      <c r="N33" s="111"/>
      <c r="O33" s="1"/>
      <c r="P33" s="1"/>
      <c r="Q33" s="1"/>
      <c r="W33"/>
      <c r="X33"/>
      <c r="Y33"/>
    </row>
    <row r="34" spans="3:25" ht="47.25" x14ac:dyDescent="0.25">
      <c r="C34" s="92" t="s">
        <v>233</v>
      </c>
      <c r="D34" s="92" t="s">
        <v>98</v>
      </c>
      <c r="E34" s="93" t="s">
        <v>216</v>
      </c>
      <c r="F34" s="93" t="s">
        <v>169</v>
      </c>
      <c r="G34" s="92"/>
      <c r="H34" s="92" t="str">
        <f>IFERROR(VLOOKUP($G34,LGD!$M$5:$N$11,2,0),"")</f>
        <v/>
      </c>
      <c r="I34" s="92"/>
      <c r="J34" s="92"/>
      <c r="K34" s="92"/>
      <c r="L34" s="92" t="s">
        <v>50</v>
      </c>
      <c r="M34" s="111"/>
      <c r="N34" s="111"/>
      <c r="O34" s="1"/>
      <c r="P34" s="1"/>
      <c r="Q34" s="1"/>
      <c r="W34"/>
      <c r="X34"/>
      <c r="Y34"/>
    </row>
    <row r="35" spans="3:25" ht="31.5" x14ac:dyDescent="0.25">
      <c r="C35" s="92" t="s">
        <v>234</v>
      </c>
      <c r="D35" s="92" t="s">
        <v>98</v>
      </c>
      <c r="E35" s="93" t="s">
        <v>217</v>
      </c>
      <c r="F35" s="93" t="s">
        <v>170</v>
      </c>
      <c r="G35" s="92"/>
      <c r="H35" s="92" t="str">
        <f>IFERROR(VLOOKUP($G35,LGD!$M$5:$N$11,2,0),"")</f>
        <v/>
      </c>
      <c r="I35" s="92"/>
      <c r="J35" s="92"/>
      <c r="K35" s="92"/>
      <c r="L35" s="92" t="s">
        <v>50</v>
      </c>
      <c r="M35" s="111"/>
      <c r="N35" s="111"/>
      <c r="O35" s="1"/>
      <c r="P35" s="1"/>
      <c r="Q35" s="1"/>
      <c r="W35"/>
      <c r="X35"/>
      <c r="Y35"/>
    </row>
    <row r="36" spans="3:25" ht="63" x14ac:dyDescent="0.25">
      <c r="C36" s="92" t="s">
        <v>235</v>
      </c>
      <c r="D36" s="92" t="s">
        <v>98</v>
      </c>
      <c r="E36" s="93" t="s">
        <v>218</v>
      </c>
      <c r="F36" s="93" t="s">
        <v>171</v>
      </c>
      <c r="G36" s="92"/>
      <c r="H36" s="92" t="str">
        <f>IFERROR(VLOOKUP($G36,LGD!$M$5:$N$11,2,0),"")</f>
        <v/>
      </c>
      <c r="I36" s="92"/>
      <c r="J36" s="92"/>
      <c r="K36" s="92"/>
      <c r="L36" s="92" t="s">
        <v>50</v>
      </c>
      <c r="M36" s="111"/>
      <c r="N36" s="111"/>
      <c r="O36" s="1"/>
      <c r="P36" s="1"/>
      <c r="Q36" s="1"/>
      <c r="W36"/>
      <c r="X36"/>
      <c r="Y36"/>
    </row>
    <row r="37" spans="3:25" ht="63" x14ac:dyDescent="0.25">
      <c r="C37" s="92" t="s">
        <v>236</v>
      </c>
      <c r="D37" s="92" t="s">
        <v>98</v>
      </c>
      <c r="E37" s="93" t="s">
        <v>219</v>
      </c>
      <c r="F37" s="93" t="s">
        <v>172</v>
      </c>
      <c r="G37" s="92"/>
      <c r="H37" s="92" t="str">
        <f>IFERROR(VLOOKUP($G37,LGD!$M$5:$N$11,2,0),"")</f>
        <v/>
      </c>
      <c r="I37" s="92"/>
      <c r="J37" s="92"/>
      <c r="K37" s="92"/>
      <c r="L37" s="92" t="s">
        <v>50</v>
      </c>
      <c r="M37" s="111"/>
      <c r="N37" s="111"/>
      <c r="O37" s="1"/>
      <c r="P37" s="1"/>
      <c r="Q37" s="1"/>
      <c r="W37"/>
      <c r="X37"/>
      <c r="Y37"/>
    </row>
    <row r="38" spans="3:25" ht="63" x14ac:dyDescent="0.25">
      <c r="C38" s="92" t="s">
        <v>237</v>
      </c>
      <c r="D38" s="92" t="s">
        <v>98</v>
      </c>
      <c r="E38" s="93" t="s">
        <v>220</v>
      </c>
      <c r="F38" s="93" t="s">
        <v>173</v>
      </c>
      <c r="G38" s="92"/>
      <c r="H38" s="92" t="str">
        <f>IFERROR(VLOOKUP($G38,LGD!$M$5:$N$11,2,0),"")</f>
        <v/>
      </c>
      <c r="I38" s="92"/>
      <c r="J38" s="92"/>
      <c r="K38" s="92"/>
      <c r="L38" s="92" t="s">
        <v>50</v>
      </c>
      <c r="M38" s="111"/>
      <c r="N38" s="111"/>
      <c r="O38" s="1"/>
      <c r="P38" s="1"/>
      <c r="Q38" s="1"/>
      <c r="W38"/>
      <c r="X38"/>
      <c r="Y38"/>
    </row>
    <row r="39" spans="3:25" ht="47.25" x14ac:dyDescent="0.25">
      <c r="C39" s="92" t="s">
        <v>238</v>
      </c>
      <c r="D39" s="92" t="s">
        <v>98</v>
      </c>
      <c r="E39" s="93" t="s">
        <v>221</v>
      </c>
      <c r="F39" s="93" t="s">
        <v>174</v>
      </c>
      <c r="G39" s="92"/>
      <c r="H39" s="92" t="str">
        <f>IFERROR(VLOOKUP($G39,LGD!$M$5:$N$11,2,0),"")</f>
        <v/>
      </c>
      <c r="I39" s="92"/>
      <c r="J39" s="92"/>
      <c r="K39" s="92"/>
      <c r="L39" s="92" t="s">
        <v>50</v>
      </c>
      <c r="M39" s="111"/>
      <c r="N39" s="111"/>
      <c r="O39" s="1"/>
      <c r="P39" s="1"/>
      <c r="Q39" s="1"/>
      <c r="W39"/>
      <c r="X39"/>
      <c r="Y39"/>
    </row>
    <row r="40" spans="3:25" x14ac:dyDescent="0.25">
      <c r="C40" s="92"/>
      <c r="D40" s="92"/>
      <c r="E40" s="93"/>
      <c r="F40" s="93"/>
      <c r="G40" s="92"/>
      <c r="H40" s="92"/>
      <c r="I40" s="92"/>
      <c r="J40" s="92"/>
      <c r="K40" s="92"/>
      <c r="L40" s="92"/>
      <c r="M40" s="111"/>
      <c r="N40" s="111"/>
      <c r="O40" s="1"/>
      <c r="P40" s="1"/>
      <c r="Q40" s="1"/>
      <c r="W40"/>
      <c r="X40"/>
      <c r="Y40"/>
    </row>
    <row r="41" spans="3:25" x14ac:dyDescent="0.25">
      <c r="C41" s="92"/>
      <c r="D41" s="92"/>
      <c r="E41" s="93"/>
      <c r="F41" s="93"/>
      <c r="G41" s="92"/>
      <c r="H41" s="92"/>
      <c r="I41" s="92"/>
      <c r="J41" s="92"/>
      <c r="K41" s="92"/>
      <c r="L41" s="92"/>
      <c r="M41" s="111"/>
      <c r="N41" s="111"/>
      <c r="O41" s="1"/>
      <c r="P41" s="1"/>
      <c r="Q41" s="1"/>
      <c r="W41"/>
      <c r="X41"/>
      <c r="Y41"/>
    </row>
    <row r="42" spans="3:25" x14ac:dyDescent="0.25">
      <c r="C42" s="92"/>
      <c r="D42" s="92"/>
      <c r="E42" s="93"/>
      <c r="F42" s="93"/>
      <c r="G42" s="92"/>
      <c r="H42" s="92" t="str">
        <f>IFERROR(VLOOKUP($G42,LGD!$M$5:$N$11,2,0),"")</f>
        <v/>
      </c>
      <c r="I42" s="92"/>
      <c r="J42" s="92"/>
      <c r="K42" s="92"/>
      <c r="L42" s="92"/>
      <c r="M42" s="111"/>
      <c r="N42" s="111"/>
      <c r="O42" s="1"/>
      <c r="P42" s="1"/>
      <c r="Q42" s="1"/>
      <c r="W42"/>
      <c r="X42"/>
      <c r="Y42"/>
    </row>
    <row r="43" spans="3:25" x14ac:dyDescent="0.25">
      <c r="C43" s="92"/>
      <c r="D43" s="92"/>
      <c r="E43" s="93"/>
      <c r="F43" s="93"/>
      <c r="G43" s="92"/>
      <c r="H43" s="92" t="str">
        <f>IFERROR(VLOOKUP($G43,LGD!$M$5:$N$11,2,0),"")</f>
        <v/>
      </c>
      <c r="I43" s="92"/>
      <c r="J43" s="92"/>
      <c r="K43" s="92"/>
      <c r="L43" s="92"/>
      <c r="M43" s="111"/>
      <c r="N43" s="111"/>
      <c r="O43" s="1"/>
      <c r="P43" s="1"/>
      <c r="Q43" s="1"/>
      <c r="W43"/>
      <c r="X43"/>
      <c r="Y43"/>
    </row>
    <row r="44" spans="3:25" x14ac:dyDescent="0.25">
      <c r="C44" s="92"/>
      <c r="D44" s="92"/>
      <c r="E44" s="93"/>
      <c r="F44" s="93"/>
      <c r="G44" s="92"/>
      <c r="H44" s="92" t="str">
        <f>IFERROR(VLOOKUP($G44,LGD!$M$5:$N$11,2,0),"")</f>
        <v/>
      </c>
      <c r="I44" s="92"/>
      <c r="J44" s="92"/>
      <c r="K44" s="92"/>
      <c r="L44" s="92"/>
      <c r="M44" s="111"/>
      <c r="N44" s="111"/>
      <c r="O44" s="1"/>
      <c r="P44" s="1"/>
      <c r="Q44" s="1"/>
      <c r="W44"/>
      <c r="X44"/>
      <c r="Y44"/>
    </row>
    <row r="45" spans="3:25" x14ac:dyDescent="0.25">
      <c r="C45" s="92"/>
      <c r="D45" s="92"/>
      <c r="E45" s="93"/>
      <c r="F45" s="93"/>
      <c r="G45" s="92"/>
      <c r="H45" s="92" t="str">
        <f>IFERROR(VLOOKUP($G45,LGD!$M$5:$N$11,2,0),"")</f>
        <v/>
      </c>
      <c r="I45" s="92"/>
      <c r="J45" s="92"/>
      <c r="K45" s="92"/>
      <c r="L45" s="92"/>
      <c r="M45" s="111"/>
      <c r="N45" s="111"/>
      <c r="O45" s="1"/>
      <c r="P45" s="1"/>
      <c r="Q45" s="1"/>
      <c r="W45"/>
      <c r="X45"/>
      <c r="Y45"/>
    </row>
    <row r="46" spans="3:25" x14ac:dyDescent="0.25">
      <c r="C46" s="92"/>
      <c r="D46" s="92"/>
      <c r="E46" s="93"/>
      <c r="F46" s="93"/>
      <c r="G46" s="92"/>
      <c r="H46" s="92" t="str">
        <f>IFERROR(VLOOKUP($G46,LGD!$M$5:$N$11,2,0),"")</f>
        <v/>
      </c>
      <c r="I46" s="92"/>
      <c r="J46" s="92"/>
      <c r="K46" s="92"/>
      <c r="L46" s="92"/>
      <c r="M46" s="111"/>
      <c r="N46" s="111"/>
      <c r="O46" s="1"/>
      <c r="P46" s="1"/>
      <c r="Q46" s="1"/>
      <c r="W46"/>
      <c r="X46"/>
      <c r="Y46"/>
    </row>
    <row r="47" spans="3:25" x14ac:dyDescent="0.25">
      <c r="C47" s="92"/>
      <c r="D47" s="92"/>
      <c r="E47" s="93"/>
      <c r="F47" s="93"/>
      <c r="G47" s="92"/>
      <c r="H47" s="92" t="str">
        <f>IFERROR(VLOOKUP($G47,LGD!$M$5:$N$11,2,0),"")</f>
        <v/>
      </c>
      <c r="I47" s="92"/>
      <c r="J47" s="92"/>
      <c r="K47" s="92"/>
      <c r="L47" s="92"/>
      <c r="M47" s="111"/>
      <c r="N47" s="111"/>
      <c r="O47" s="1"/>
      <c r="P47" s="1"/>
      <c r="Q47" s="1"/>
      <c r="W47"/>
      <c r="X47"/>
      <c r="Y47"/>
    </row>
    <row r="48" spans="3:25" x14ac:dyDescent="0.25">
      <c r="C48" s="92"/>
      <c r="D48" s="92"/>
      <c r="E48" s="93"/>
      <c r="F48" s="93"/>
      <c r="G48" s="92"/>
      <c r="H48" s="92" t="str">
        <f>IFERROR(VLOOKUP($G48,LGD!$M$5:$N$11,2,0),"")</f>
        <v/>
      </c>
      <c r="I48" s="92"/>
      <c r="J48" s="92"/>
      <c r="K48" s="92"/>
      <c r="L48" s="92"/>
      <c r="M48" s="111"/>
      <c r="N48" s="111"/>
      <c r="O48" s="1"/>
      <c r="P48" s="1"/>
      <c r="Q48" s="1"/>
      <c r="W48"/>
      <c r="X48"/>
      <c r="Y48"/>
    </row>
    <row r="49" spans="3:25" x14ac:dyDescent="0.25">
      <c r="C49" s="92"/>
      <c r="D49" s="92"/>
      <c r="E49" s="93"/>
      <c r="F49" s="93"/>
      <c r="G49" s="92"/>
      <c r="H49" s="92" t="str">
        <f>IFERROR(VLOOKUP($G49,LGD!$M$5:$N$11,2,0),"")</f>
        <v/>
      </c>
      <c r="I49" s="92"/>
      <c r="J49" s="92"/>
      <c r="K49" s="92"/>
      <c r="L49" s="92"/>
      <c r="M49" s="111"/>
      <c r="N49" s="111"/>
      <c r="O49" s="1"/>
      <c r="P49" s="1"/>
      <c r="Q49" s="1"/>
      <c r="W49"/>
      <c r="X49"/>
      <c r="Y49"/>
    </row>
    <row r="50" spans="3:25" x14ac:dyDescent="0.25">
      <c r="C50" s="92"/>
      <c r="D50" s="92"/>
      <c r="E50" s="93"/>
      <c r="F50" s="93"/>
      <c r="G50" s="92"/>
      <c r="H50" s="92" t="str">
        <f>IFERROR(VLOOKUP($G50,LGD!$M$5:$N$11,2,0),"")</f>
        <v/>
      </c>
      <c r="I50" s="92"/>
      <c r="J50" s="92"/>
      <c r="K50" s="92"/>
      <c r="L50" s="92"/>
      <c r="M50" s="111"/>
      <c r="N50" s="111"/>
      <c r="O50" s="1"/>
      <c r="P50" s="1"/>
      <c r="Q50" s="1"/>
      <c r="W50"/>
      <c r="X50"/>
      <c r="Y50"/>
    </row>
    <row r="51" spans="3:25" x14ac:dyDescent="0.25">
      <c r="C51" s="92"/>
      <c r="D51" s="92"/>
      <c r="E51" s="93"/>
      <c r="F51" s="93"/>
      <c r="G51" s="92"/>
      <c r="H51" s="92" t="str">
        <f>IFERROR(VLOOKUP($G51,LGD!$M$5:$N$11,2,0),"")</f>
        <v/>
      </c>
      <c r="I51" s="92"/>
      <c r="J51" s="92"/>
      <c r="K51" s="92"/>
      <c r="L51" s="92"/>
      <c r="M51" s="111"/>
      <c r="N51" s="111"/>
      <c r="O51" s="1"/>
      <c r="P51" s="1"/>
      <c r="Q51" s="1"/>
      <c r="W51"/>
      <c r="X51"/>
      <c r="Y51"/>
    </row>
    <row r="52" spans="3:25" x14ac:dyDescent="0.25">
      <c r="C52" s="92"/>
      <c r="D52" s="92"/>
      <c r="E52" s="93"/>
      <c r="F52" s="93"/>
      <c r="G52" s="92"/>
      <c r="H52" s="92" t="str">
        <f>IFERROR(VLOOKUP($G52,LGD!$M$5:$N$11,2,0),"")</f>
        <v/>
      </c>
      <c r="I52" s="92"/>
      <c r="J52" s="92"/>
      <c r="K52" s="92"/>
      <c r="L52" s="92"/>
      <c r="M52" s="111"/>
      <c r="N52" s="111"/>
      <c r="O52" s="1"/>
      <c r="P52" s="1"/>
      <c r="Q52" s="1"/>
      <c r="W52"/>
      <c r="X52"/>
      <c r="Y52"/>
    </row>
    <row r="53" spans="3:25" x14ac:dyDescent="0.25">
      <c r="C53" s="92"/>
      <c r="D53" s="92"/>
      <c r="E53" s="93"/>
      <c r="F53" s="93"/>
      <c r="G53" s="92"/>
      <c r="H53" s="92" t="str">
        <f>IFERROR(VLOOKUP($G53,LGD!$M$5:$N$11,2,0),"")</f>
        <v/>
      </c>
      <c r="I53" s="92"/>
      <c r="J53" s="92"/>
      <c r="K53" s="92"/>
      <c r="L53" s="92"/>
      <c r="M53" s="111"/>
      <c r="N53" s="111"/>
      <c r="O53" s="1"/>
      <c r="P53" s="1"/>
      <c r="Q53" s="1"/>
      <c r="W53"/>
      <c r="X53"/>
      <c r="Y53"/>
    </row>
    <row r="54" spans="3:25" x14ac:dyDescent="0.25">
      <c r="C54" s="92"/>
      <c r="D54" s="92"/>
      <c r="E54" s="93"/>
      <c r="F54" s="93"/>
      <c r="G54" s="92"/>
      <c r="H54" s="92" t="str">
        <f>IFERROR(VLOOKUP($G54,LGD!$M$5:$N$11,2,0),"")</f>
        <v/>
      </c>
      <c r="I54" s="92"/>
      <c r="J54" s="92"/>
      <c r="K54" s="92"/>
      <c r="L54" s="92"/>
      <c r="M54" s="111"/>
      <c r="N54" s="111"/>
      <c r="O54" s="1"/>
      <c r="P54" s="1"/>
      <c r="Q54" s="1"/>
      <c r="W54"/>
      <c r="X54"/>
      <c r="Y54"/>
    </row>
    <row r="55" spans="3:25" x14ac:dyDescent="0.25">
      <c r="C55" s="92"/>
      <c r="D55" s="92"/>
      <c r="E55" s="93"/>
      <c r="F55" s="93"/>
      <c r="G55" s="92"/>
      <c r="H55" s="92" t="str">
        <f>IFERROR(VLOOKUP($G55,LGD!$M$5:$N$11,2,0),"")</f>
        <v/>
      </c>
      <c r="I55" s="92"/>
      <c r="J55" s="92"/>
      <c r="K55" s="92"/>
      <c r="L55" s="92"/>
      <c r="M55" s="111"/>
      <c r="N55" s="111"/>
      <c r="O55" s="1"/>
      <c r="P55" s="1"/>
      <c r="Q55" s="1"/>
      <c r="W55"/>
      <c r="X55"/>
      <c r="Y55"/>
    </row>
    <row r="56" spans="3:25" x14ac:dyDescent="0.25">
      <c r="C56" s="92"/>
      <c r="D56" s="92"/>
      <c r="E56" s="93"/>
      <c r="F56" s="93"/>
      <c r="G56" s="92"/>
      <c r="H56" s="92" t="str">
        <f>IFERROR(VLOOKUP($G56,LGD!$M$5:$N$11,2,0),"")</f>
        <v/>
      </c>
      <c r="I56" s="92"/>
      <c r="J56" s="92"/>
      <c r="K56" s="92"/>
      <c r="L56" s="92"/>
      <c r="M56" s="111"/>
      <c r="N56" s="111"/>
      <c r="O56" s="1"/>
      <c r="P56" s="1"/>
      <c r="Q56" s="1"/>
      <c r="W56"/>
      <c r="X56"/>
      <c r="Y56"/>
    </row>
    <row r="57" spans="3:25" x14ac:dyDescent="0.25">
      <c r="C57" s="92"/>
      <c r="D57" s="92"/>
      <c r="E57" s="93"/>
      <c r="F57" s="93"/>
      <c r="G57" s="92"/>
      <c r="H57" s="92" t="str">
        <f>IFERROR(VLOOKUP($G57,LGD!$M$5:$N$11,2,0),"")</f>
        <v/>
      </c>
      <c r="I57" s="92"/>
      <c r="J57" s="92"/>
      <c r="K57" s="92"/>
      <c r="L57" s="92"/>
      <c r="M57" s="111"/>
      <c r="N57" s="111"/>
      <c r="O57" s="1"/>
      <c r="P57" s="1"/>
      <c r="Q57" s="1"/>
      <c r="W57"/>
      <c r="X57"/>
      <c r="Y57"/>
    </row>
    <row r="58" spans="3:25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Q58" s="1"/>
      <c r="W58"/>
      <c r="X58"/>
      <c r="Y58"/>
    </row>
    <row r="59" spans="3:25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Q59" s="1"/>
      <c r="W59"/>
      <c r="X59"/>
      <c r="Y59"/>
    </row>
    <row r="60" spans="3:25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Q60" s="1"/>
      <c r="W60"/>
      <c r="X60"/>
      <c r="Y60"/>
    </row>
    <row r="61" spans="3:25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Q61" s="1"/>
      <c r="W61"/>
      <c r="X61"/>
      <c r="Y61"/>
    </row>
    <row r="62" spans="3:25" x14ac:dyDescent="0.25">
      <c r="C62" s="92"/>
      <c r="D62" s="92"/>
      <c r="E62" s="93"/>
      <c r="F62" s="93"/>
      <c r="G62" s="92"/>
      <c r="H62" s="92" t="str">
        <f>IFERROR(VLOOKUP($G62,LGD!$M$5:$N$11,2,0),"")</f>
        <v/>
      </c>
      <c r="I62" s="92"/>
      <c r="J62" s="92"/>
      <c r="K62" s="92"/>
      <c r="L62" s="92"/>
      <c r="M62" s="111"/>
      <c r="N62" s="111"/>
      <c r="O62" s="1"/>
      <c r="P62" s="1"/>
      <c r="Q62" s="1"/>
      <c r="W62"/>
      <c r="X62"/>
      <c r="Y62"/>
    </row>
    <row r="63" spans="3:25" x14ac:dyDescent="0.25">
      <c r="C63" s="92"/>
      <c r="D63" s="92"/>
      <c r="E63" s="93"/>
      <c r="F63" s="93"/>
      <c r="G63" s="92"/>
      <c r="H63" s="92" t="str">
        <f>IFERROR(VLOOKUP($G63,LGD!$M$5:$N$11,2,0),"")</f>
        <v/>
      </c>
      <c r="I63" s="92"/>
      <c r="J63" s="92"/>
      <c r="K63" s="92"/>
      <c r="L63" s="92"/>
      <c r="M63" s="111"/>
      <c r="N63" s="111"/>
      <c r="O63" s="1"/>
      <c r="P63" s="1"/>
      <c r="Q63" s="1"/>
      <c r="W63"/>
      <c r="X63"/>
      <c r="Y63"/>
    </row>
    <row r="64" spans="3:25" x14ac:dyDescent="0.25">
      <c r="C64" s="92"/>
      <c r="D64" s="92"/>
      <c r="E64" s="93"/>
      <c r="F64" s="93"/>
      <c r="G64" s="92"/>
      <c r="H64" s="92" t="str">
        <f>IFERROR(VLOOKUP($G64,LGD!$M$5:$N$11,2,0),"")</f>
        <v/>
      </c>
      <c r="I64" s="92"/>
      <c r="J64" s="92"/>
      <c r="K64" s="92"/>
      <c r="L64" s="92"/>
      <c r="M64" s="111"/>
      <c r="N64" s="111"/>
      <c r="O64" s="1"/>
      <c r="P64" s="1"/>
      <c r="Q64" s="1"/>
      <c r="W64"/>
      <c r="X64"/>
      <c r="Y64"/>
    </row>
    <row r="65" spans="3:25" x14ac:dyDescent="0.25">
      <c r="C65" s="92"/>
      <c r="D65" s="92"/>
      <c r="E65" s="93"/>
      <c r="F65" s="93"/>
      <c r="G65" s="92"/>
      <c r="H65" s="92" t="str">
        <f>IFERROR(VLOOKUP($G65,LGD!$M$5:$N$11,2,0),"")</f>
        <v/>
      </c>
      <c r="I65" s="92"/>
      <c r="J65" s="92"/>
      <c r="K65" s="92"/>
      <c r="L65" s="92"/>
      <c r="M65" s="111"/>
      <c r="N65" s="111"/>
      <c r="O65" s="1"/>
      <c r="P65" s="1"/>
      <c r="Q65" s="1"/>
      <c r="W65"/>
      <c r="X65"/>
      <c r="Y65"/>
    </row>
    <row r="66" spans="3:25" x14ac:dyDescent="0.25">
      <c r="C66" s="92"/>
      <c r="D66" s="92"/>
      <c r="E66" s="93"/>
      <c r="F66" s="93"/>
      <c r="G66" s="92"/>
      <c r="H66" s="92" t="str">
        <f>IFERROR(VLOOKUP($G66,LGD!$M$5:$N$11,2,0),"")</f>
        <v/>
      </c>
      <c r="I66" s="92"/>
      <c r="J66" s="92"/>
      <c r="K66" s="92"/>
      <c r="L66" s="92"/>
      <c r="M66" s="111"/>
      <c r="N66" s="111"/>
      <c r="O66" s="1"/>
      <c r="P66" s="1"/>
      <c r="Q66" s="1"/>
      <c r="W66"/>
      <c r="X66"/>
      <c r="Y66"/>
    </row>
    <row r="67" spans="3:25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Q67" s="1"/>
      <c r="W67"/>
      <c r="X67"/>
      <c r="Y67"/>
    </row>
    <row r="68" spans="3:25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Q68" s="1"/>
      <c r="W68"/>
      <c r="X68"/>
      <c r="Y68"/>
    </row>
    <row r="69" spans="3:25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Q69" s="1"/>
      <c r="W69"/>
      <c r="X69"/>
      <c r="Y69"/>
    </row>
    <row r="70" spans="3:25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Q70" s="1"/>
      <c r="W70"/>
      <c r="X70"/>
      <c r="Y70"/>
    </row>
    <row r="71" spans="3:25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Q71" s="1"/>
      <c r="W71"/>
      <c r="X71"/>
      <c r="Y71"/>
    </row>
    <row r="72" spans="3:25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Q72" s="1"/>
      <c r="W72"/>
      <c r="X72"/>
      <c r="Y72"/>
    </row>
    <row r="73" spans="3:25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Q73" s="1"/>
      <c r="W73"/>
      <c r="X73"/>
      <c r="Y73"/>
    </row>
    <row r="74" spans="3:25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Q74" s="1"/>
      <c r="W74"/>
      <c r="X74"/>
      <c r="Y74"/>
    </row>
    <row r="75" spans="3:25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Q75" s="1"/>
      <c r="W75"/>
      <c r="X75"/>
      <c r="Y75"/>
    </row>
    <row r="76" spans="3:25" x14ac:dyDescent="0.25">
      <c r="O76" s="1"/>
      <c r="P76" s="1"/>
      <c r="Q76" s="1"/>
      <c r="W76"/>
      <c r="X76"/>
      <c r="Y76"/>
    </row>
    <row r="78" spans="3:25" x14ac:dyDescent="0.25">
      <c r="I78" s="1">
        <f>COUNTIFS(SprintBackLog[COLABORADOR (A)],"Matheus Emboaba")</f>
        <v>0</v>
      </c>
    </row>
    <row r="79" spans="3:25" hidden="1" x14ac:dyDescent="0.25">
      <c r="I79" s="1">
        <f>COUNTIFS(SprintBackLog[COLABORADOR (A)],"Guilherme Leite")</f>
        <v>0</v>
      </c>
    </row>
    <row r="80" spans="3:25" hidden="1" x14ac:dyDescent="0.25"/>
    <row r="88" ht="15" customHeight="1" x14ac:dyDescent="0.25"/>
  </sheetData>
  <phoneticPr fontId="11" type="noConversion"/>
  <conditionalFormatting sqref="C42:N75 C5:N39">
    <cfRule type="expression" dxfId="39" priority="1">
      <formula>$D5="SPRINT4"</formula>
    </cfRule>
    <cfRule type="expression" dxfId="38" priority="2">
      <formula>$D5="SPRINT3"</formula>
    </cfRule>
    <cfRule type="expression" dxfId="37" priority="3">
      <formula>$D5="SPRINT2"</formula>
    </cfRule>
    <cfRule type="expression" dxfId="36" priority="4">
      <formula>$D5="SPRINT1"</formula>
    </cfRule>
    <cfRule type="expression" dxfId="35" priority="56">
      <formula>$L5="Transferido"</formula>
    </cfRule>
    <cfRule type="expression" dxfId="34" priority="57">
      <formula>$L5="Em Espera"</formula>
    </cfRule>
    <cfRule type="expression" dxfId="33" priority="58">
      <formula>$L5="Em Andamento"</formula>
    </cfRule>
    <cfRule type="expression" dxfId="32" priority="59">
      <formula>$L5="Concluído"</formula>
    </cfRule>
    <cfRule type="expression" dxfId="31" priority="60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42:D75 D5:D39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42:G75 G5:G39" xr:uid="{B5151D5B-4AF5-4B2D-9DC8-9DD8373ECE34}">
      <formula1>PlanningPoker</formula1>
    </dataValidation>
    <dataValidation type="list" allowBlank="1" showInputMessage="1" showErrorMessage="1" sqref="L42:L75 L5:L39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42:F75 F5:F39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K42:K75 K5:K39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I42:I75 I5:I39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J42:J75 J5:J39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tabSelected="1" zoomScale="55" zoomScaleNormal="55" workbookViewId="0">
      <pane xSplit="24" ySplit="2" topLeftCell="Z3" activePane="bottomRight" state="frozen"/>
      <selection pane="topRight" activeCell="Y1" sqref="Y1"/>
      <selection pane="bottomLeft" activeCell="A3" sqref="A3"/>
      <selection pane="bottomRight" activeCell="W20" sqref="W20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41" t="str">
        <f>C11</f>
        <v>SPRINT1</v>
      </c>
      <c r="D4" s="141"/>
      <c r="E4" s="117" t="s">
        <v>116</v>
      </c>
      <c r="F4" s="117" t="s">
        <v>117</v>
      </c>
      <c r="G4" s="117" t="s">
        <v>118</v>
      </c>
      <c r="H4" s="117" t="s">
        <v>119</v>
      </c>
      <c r="I4" s="117" t="s">
        <v>120</v>
      </c>
      <c r="J4" s="117" t="s">
        <v>121</v>
      </c>
      <c r="K4" s="117" t="s">
        <v>122</v>
      </c>
      <c r="L4" s="117" t="s">
        <v>123</v>
      </c>
      <c r="M4" s="117" t="s">
        <v>124</v>
      </c>
      <c r="N4" s="117" t="s">
        <v>125</v>
      </c>
      <c r="O4" s="117" t="s">
        <v>253</v>
      </c>
      <c r="P4" s="117" t="s">
        <v>254</v>
      </c>
      <c r="Q4" s="117" t="s">
        <v>255</v>
      </c>
      <c r="R4" s="117" t="s">
        <v>256</v>
      </c>
      <c r="S4" s="117" t="s">
        <v>257</v>
      </c>
      <c r="T4" s="117" t="s">
        <v>258</v>
      </c>
      <c r="U4" s="117" t="s">
        <v>259</v>
      </c>
      <c r="V4" s="117" t="s">
        <v>260</v>
      </c>
      <c r="W4" s="117" t="s">
        <v>261</v>
      </c>
      <c r="X4" s="117" t="s">
        <v>262</v>
      </c>
    </row>
    <row r="5" spans="1:26" ht="15.75" customHeight="1" x14ac:dyDescent="0.25">
      <c r="C5" s="141"/>
      <c r="D5" s="141"/>
      <c r="E5" s="114">
        <f>E12+1</f>
        <v>44264</v>
      </c>
      <c r="F5" s="114">
        <f t="shared" ref="F5:X5" si="0">IF(E5&lt;$F$12,SUM(E5+1),"")</f>
        <v>44265</v>
      </c>
      <c r="G5" s="114">
        <f t="shared" si="0"/>
        <v>44266</v>
      </c>
      <c r="H5" s="114">
        <f t="shared" si="0"/>
        <v>44267</v>
      </c>
      <c r="I5" s="114">
        <f t="shared" si="0"/>
        <v>44268</v>
      </c>
      <c r="J5" s="114">
        <f t="shared" si="0"/>
        <v>44269</v>
      </c>
      <c r="K5" s="114">
        <f t="shared" si="0"/>
        <v>44270</v>
      </c>
      <c r="L5" s="114">
        <f t="shared" si="0"/>
        <v>44271</v>
      </c>
      <c r="M5" s="114">
        <f t="shared" si="0"/>
        <v>44272</v>
      </c>
      <c r="N5" s="114">
        <f t="shared" si="0"/>
        <v>44273</v>
      </c>
      <c r="O5" s="114">
        <f t="shared" si="0"/>
        <v>44274</v>
      </c>
      <c r="P5" s="114">
        <f t="shared" si="0"/>
        <v>44275</v>
      </c>
      <c r="Q5" s="114">
        <f t="shared" si="0"/>
        <v>44276</v>
      </c>
      <c r="R5" s="114">
        <f t="shared" si="0"/>
        <v>44277</v>
      </c>
      <c r="S5" s="114">
        <f t="shared" si="0"/>
        <v>44278</v>
      </c>
      <c r="T5" s="114">
        <f t="shared" si="0"/>
        <v>44279</v>
      </c>
      <c r="U5" s="114">
        <f t="shared" si="0"/>
        <v>44280</v>
      </c>
      <c r="V5" s="114">
        <f t="shared" si="0"/>
        <v>44281</v>
      </c>
      <c r="W5" s="114">
        <f t="shared" si="0"/>
        <v>44282</v>
      </c>
      <c r="X5" s="114">
        <f t="shared" si="0"/>
        <v>44283</v>
      </c>
    </row>
    <row r="6" spans="1:26" ht="18" customHeight="1" x14ac:dyDescent="0.25">
      <c r="C6" s="139" t="s">
        <v>265</v>
      </c>
      <c r="D6" s="140"/>
      <c r="E6" s="124">
        <f>IFERROR(SUMIFS(SPBL!$H$5:$H$75,SPBL!$D$5:$D$75,$C$11),"")</f>
        <v>86</v>
      </c>
      <c r="F6" s="116">
        <f>E6-$E$6/(COUNT($E$5:$X$5)-1)</f>
        <v>81.473684210526315</v>
      </c>
      <c r="G6" s="116">
        <f t="shared" ref="G6:X6" si="1">F6-$E$6/(COUNT($E$5:$X$5)-1)</f>
        <v>76.94736842105263</v>
      </c>
      <c r="H6" s="116">
        <f t="shared" si="1"/>
        <v>72.421052631578945</v>
      </c>
      <c r="I6" s="116">
        <f t="shared" si="1"/>
        <v>67.89473684210526</v>
      </c>
      <c r="J6" s="116">
        <f t="shared" si="1"/>
        <v>63.368421052631575</v>
      </c>
      <c r="K6" s="116">
        <f t="shared" si="1"/>
        <v>58.84210526315789</v>
      </c>
      <c r="L6" s="116">
        <f t="shared" si="1"/>
        <v>54.315789473684205</v>
      </c>
      <c r="M6" s="116">
        <f t="shared" si="1"/>
        <v>49.78947368421052</v>
      </c>
      <c r="N6" s="116">
        <f t="shared" si="1"/>
        <v>45.263157894736835</v>
      </c>
      <c r="O6" s="116">
        <f t="shared" si="1"/>
        <v>40.73684210526315</v>
      </c>
      <c r="P6" s="116">
        <f t="shared" si="1"/>
        <v>36.210526315789465</v>
      </c>
      <c r="Q6" s="116">
        <f t="shared" si="1"/>
        <v>31.68421052631578</v>
      </c>
      <c r="R6" s="116">
        <f t="shared" si="1"/>
        <v>27.157894736842096</v>
      </c>
      <c r="S6" s="116">
        <f t="shared" si="1"/>
        <v>22.631578947368411</v>
      </c>
      <c r="T6" s="116">
        <f t="shared" si="1"/>
        <v>18.105263157894726</v>
      </c>
      <c r="U6" s="116">
        <f t="shared" si="1"/>
        <v>13.578947368421041</v>
      </c>
      <c r="V6" s="116">
        <f t="shared" si="1"/>
        <v>9.0526315789473557</v>
      </c>
      <c r="W6" s="116">
        <f t="shared" si="1"/>
        <v>4.5263157894736716</v>
      </c>
      <c r="X6" s="116">
        <f t="shared" si="1"/>
        <v>-1.2434497875801753E-14</v>
      </c>
      <c r="Y6"/>
      <c r="Z6"/>
    </row>
    <row r="7" spans="1:26" ht="18" customHeight="1" x14ac:dyDescent="0.25">
      <c r="C7" s="139" t="s">
        <v>266</v>
      </c>
      <c r="D7" s="140"/>
      <c r="E7" s="125">
        <v>0</v>
      </c>
      <c r="F7" s="125">
        <v>0</v>
      </c>
      <c r="G7" s="125">
        <v>3</v>
      </c>
      <c r="H7" s="125">
        <v>3</v>
      </c>
      <c r="I7" s="125">
        <v>3</v>
      </c>
      <c r="J7" s="125">
        <v>3</v>
      </c>
      <c r="K7" s="125">
        <v>6</v>
      </c>
      <c r="L7" s="125">
        <v>7</v>
      </c>
      <c r="M7" s="125">
        <v>6</v>
      </c>
      <c r="N7" s="125">
        <v>5</v>
      </c>
      <c r="O7" s="125">
        <v>4</v>
      </c>
      <c r="P7" s="125">
        <v>2</v>
      </c>
      <c r="Q7" s="125">
        <v>2</v>
      </c>
      <c r="R7" s="125">
        <v>6</v>
      </c>
      <c r="S7" s="125">
        <v>9</v>
      </c>
      <c r="T7" s="125">
        <v>9</v>
      </c>
      <c r="U7" s="125">
        <v>4</v>
      </c>
      <c r="V7" s="125">
        <v>8</v>
      </c>
      <c r="W7" s="125">
        <v>4</v>
      </c>
      <c r="X7" s="125">
        <v>0</v>
      </c>
    </row>
    <row r="8" spans="1:26" ht="18" customHeight="1" x14ac:dyDescent="0.25">
      <c r="C8" s="139" t="s">
        <v>267</v>
      </c>
      <c r="D8" s="140"/>
      <c r="E8" s="113">
        <f>IFERROR(E6-E7,"")</f>
        <v>86</v>
      </c>
      <c r="F8" s="113">
        <f ca="1">IF(F5&lt;=$G$12,E8-F7,"")</f>
        <v>86</v>
      </c>
      <c r="G8" s="113">
        <f ca="1">IF(G5&lt;=$G$12,F8-G7,"")</f>
        <v>83</v>
      </c>
      <c r="H8" s="113">
        <f t="shared" ref="H8:W8" ca="1" si="2">IF(H5&lt;=$G$12,G8-H7,"")</f>
        <v>80</v>
      </c>
      <c r="I8" s="113">
        <f t="shared" ca="1" si="2"/>
        <v>77</v>
      </c>
      <c r="J8" s="113">
        <f t="shared" ca="1" si="2"/>
        <v>74</v>
      </c>
      <c r="K8" s="113">
        <f t="shared" ca="1" si="2"/>
        <v>68</v>
      </c>
      <c r="L8" s="113">
        <f t="shared" ca="1" si="2"/>
        <v>61</v>
      </c>
      <c r="M8" s="113">
        <f t="shared" ca="1" si="2"/>
        <v>55</v>
      </c>
      <c r="N8" s="113">
        <f t="shared" ca="1" si="2"/>
        <v>50</v>
      </c>
      <c r="O8" s="113">
        <f t="shared" ca="1" si="2"/>
        <v>46</v>
      </c>
      <c r="P8" s="113">
        <f t="shared" ca="1" si="2"/>
        <v>44</v>
      </c>
      <c r="Q8" s="113">
        <f t="shared" ca="1" si="2"/>
        <v>42</v>
      </c>
      <c r="R8" s="113">
        <f t="shared" ca="1" si="2"/>
        <v>36</v>
      </c>
      <c r="S8" s="113">
        <f t="shared" ca="1" si="2"/>
        <v>27</v>
      </c>
      <c r="T8" s="113">
        <f t="shared" ca="1" si="2"/>
        <v>18</v>
      </c>
      <c r="U8" s="113">
        <f t="shared" ca="1" si="2"/>
        <v>14</v>
      </c>
      <c r="V8" s="113">
        <f t="shared" ca="1" si="2"/>
        <v>6</v>
      </c>
      <c r="W8" s="113">
        <f t="shared" ca="1" si="2"/>
        <v>2</v>
      </c>
      <c r="X8" s="113" t="str">
        <f ca="1">IF(X5&lt;=$G$12,W8-X7,"")</f>
        <v/>
      </c>
    </row>
    <row r="11" spans="1:26" ht="15.95" customHeight="1" x14ac:dyDescent="0.25">
      <c r="C11" s="141" t="s">
        <v>95</v>
      </c>
      <c r="D11" s="141"/>
      <c r="E11" s="117" t="s">
        <v>268</v>
      </c>
      <c r="F11" s="117" t="s">
        <v>269</v>
      </c>
      <c r="G11" s="143" t="s">
        <v>270</v>
      </c>
      <c r="H11" s="143"/>
    </row>
    <row r="12" spans="1:26" ht="15.95" customHeight="1" x14ac:dyDescent="0.25">
      <c r="C12" s="141"/>
      <c r="D12" s="141"/>
      <c r="E12" s="114">
        <f>_xlfn.XLOOKUP(C11,Planning[Evento],Planning[Data Início])</f>
        <v>44263</v>
      </c>
      <c r="F12" s="115">
        <f>_xlfn.XLOOKUP(C11,Planning[Evento],Planning[Data Entrega])</f>
        <v>44283</v>
      </c>
      <c r="G12" s="142">
        <f ca="1">TODAY()</f>
        <v>44282</v>
      </c>
      <c r="H12" s="142"/>
    </row>
    <row r="13" spans="1:26" ht="14.25" customHeight="1" x14ac:dyDescent="0.25">
      <c r="C13" s="118"/>
    </row>
    <row r="14" spans="1:26" ht="14.25" customHeight="1" x14ac:dyDescent="0.25">
      <c r="C14" s="118"/>
    </row>
    <row r="15" spans="1:26" ht="14.25" customHeight="1" x14ac:dyDescent="0.25">
      <c r="C15" s="118"/>
    </row>
    <row r="16" spans="1:26" ht="14.25" customHeight="1" x14ac:dyDescent="0.25">
      <c r="C16" s="118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Normal="100" workbookViewId="0">
      <pane xSplit="15" ySplit="2" topLeftCell="P3" activePane="bottomRight" state="frozen"/>
      <selection activeCell="J22" sqref="J22"/>
      <selection pane="topRight" activeCell="J22" sqref="J22"/>
      <selection pane="bottomLeft" activeCell="J22" sqref="J22"/>
      <selection pane="bottomRight" activeCell="C42" sqref="C42:D42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45</v>
      </c>
      <c r="D30" s="63">
        <f>COUNTIFS(SprintBackLog[COLABORADOR (A)],"="&amp;RLT!C30,SprintBackLog[SPRINT],$D$29)</f>
        <v>0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0</v>
      </c>
    </row>
    <row r="31" spans="3:15" ht="15" thickTop="1" x14ac:dyDescent="0.2"/>
    <row r="41" spans="3:7" ht="15" x14ac:dyDescent="0.2">
      <c r="E41" s="62" t="s">
        <v>95</v>
      </c>
      <c r="F41" s="119" t="s">
        <v>109</v>
      </c>
      <c r="G41" s="120" t="s">
        <v>271</v>
      </c>
    </row>
    <row r="42" spans="3:7" ht="15.75" thickBot="1" x14ac:dyDescent="0.3">
      <c r="C42" s="144" t="s">
        <v>45</v>
      </c>
      <c r="D42" s="144"/>
      <c r="E42" s="121">
        <f>COUNTIFS(SPBL!$I$5:$I$75,"="&amp;RLT!$C$42,SPBL!$D$5:$D$75,"="&amp;RLT!$E$41)</f>
        <v>0</v>
      </c>
      <c r="F42" s="123" t="str">
        <f>SUMIFS(SPBL!G5:$G$75,SPBL!D5:D75,RLT!E41,SPBL!I5:$I$75,RLT!C42)&amp;" / 100"</f>
        <v>0 / 100</v>
      </c>
      <c r="G42" s="122">
        <f>SUMIFS(SPBL!G5:$G$75,SPBL!D5:D75,RLT!E41,SPBL!I5:$I$75,RLT!C42)/100</f>
        <v>0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47" t="s">
        <v>92</v>
      </c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47"/>
      <c r="Q4" s="147"/>
      <c r="R4" s="147"/>
      <c r="S4" s="147"/>
      <c r="T4" s="147"/>
      <c r="U4" s="147"/>
      <c r="V4" s="147"/>
    </row>
    <row r="5" spans="1:23" ht="15" thickBot="1" x14ac:dyDescent="0.25"/>
    <row r="6" spans="1:23" ht="15" x14ac:dyDescent="0.2">
      <c r="C6" s="24">
        <v>1</v>
      </c>
      <c r="D6" s="161" t="s">
        <v>83</v>
      </c>
      <c r="E6" s="161"/>
      <c r="F6" s="161"/>
      <c r="G6" s="30"/>
      <c r="H6" s="25"/>
      <c r="I6" s="25"/>
      <c r="J6" s="31"/>
      <c r="K6" s="158" t="s">
        <v>86</v>
      </c>
      <c r="L6" s="158"/>
      <c r="M6" s="158"/>
      <c r="N6" s="34">
        <v>2</v>
      </c>
      <c r="O6" s="30"/>
      <c r="P6" s="25"/>
      <c r="Q6" s="25"/>
      <c r="R6" s="31"/>
      <c r="S6" s="158" t="s">
        <v>91</v>
      </c>
      <c r="T6" s="158"/>
      <c r="U6" s="158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62" t="s">
        <v>84</v>
      </c>
      <c r="H15" s="163"/>
      <c r="I15" s="163"/>
      <c r="J15" s="32">
        <v>3</v>
      </c>
      <c r="K15" s="23"/>
      <c r="L15" s="23"/>
      <c r="M15" s="23"/>
      <c r="N15" s="23"/>
      <c r="O15" s="33">
        <v>7</v>
      </c>
      <c r="P15" s="156" t="s">
        <v>89</v>
      </c>
      <c r="Q15" s="156"/>
      <c r="R15" s="157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64" t="s">
        <v>85</v>
      </c>
      <c r="I25" s="164"/>
      <c r="J25" s="165"/>
      <c r="K25" s="23"/>
      <c r="L25" s="23"/>
      <c r="M25" s="23"/>
      <c r="N25" s="23"/>
      <c r="O25" s="154" t="s">
        <v>90</v>
      </c>
      <c r="P25" s="155"/>
      <c r="Q25" s="155"/>
      <c r="R25" s="36">
        <v>6</v>
      </c>
      <c r="S25" s="23"/>
      <c r="T25" s="23"/>
      <c r="U25" s="23"/>
      <c r="V25" s="28"/>
    </row>
    <row r="26" spans="3:22" ht="15" customHeight="1" x14ac:dyDescent="0.2">
      <c r="C26" s="166">
        <v>5</v>
      </c>
      <c r="D26" s="148" t="s">
        <v>93</v>
      </c>
      <c r="E26" s="148"/>
      <c r="F26" s="148"/>
      <c r="G26" s="148"/>
      <c r="H26" s="148"/>
      <c r="I26" s="148"/>
      <c r="J26" s="148"/>
      <c r="K26" s="148"/>
      <c r="L26" s="149"/>
      <c r="M26" s="30"/>
      <c r="N26" s="25"/>
      <c r="O26" s="25"/>
      <c r="P26" s="25"/>
      <c r="Q26" s="25"/>
      <c r="R26" s="25"/>
      <c r="S26" s="25"/>
      <c r="T26" s="25"/>
      <c r="U26" s="25"/>
      <c r="V26" s="159" t="s">
        <v>88</v>
      </c>
    </row>
    <row r="27" spans="3:22" ht="15" customHeight="1" x14ac:dyDescent="0.2">
      <c r="C27" s="167"/>
      <c r="D27" s="150"/>
      <c r="E27" s="150"/>
      <c r="F27" s="150"/>
      <c r="G27" s="150"/>
      <c r="H27" s="150"/>
      <c r="I27" s="150"/>
      <c r="J27" s="150"/>
      <c r="K27" s="150"/>
      <c r="L27" s="151"/>
      <c r="M27" s="27"/>
      <c r="N27" s="23"/>
      <c r="O27" s="23"/>
      <c r="P27" s="23"/>
      <c r="Q27" s="23"/>
      <c r="R27" s="23"/>
      <c r="S27" s="23"/>
      <c r="T27" s="23"/>
      <c r="U27" s="23"/>
      <c r="V27" s="160"/>
    </row>
    <row r="28" spans="3:22" ht="15" customHeight="1" x14ac:dyDescent="0.2">
      <c r="C28" s="168" t="s">
        <v>87</v>
      </c>
      <c r="D28" s="150"/>
      <c r="E28" s="150"/>
      <c r="F28" s="150"/>
      <c r="G28" s="150"/>
      <c r="H28" s="150"/>
      <c r="I28" s="150"/>
      <c r="J28" s="150"/>
      <c r="K28" s="150"/>
      <c r="L28" s="151"/>
      <c r="M28" s="27"/>
      <c r="N28" s="23"/>
      <c r="O28" s="23"/>
      <c r="P28" s="23"/>
      <c r="Q28" s="23"/>
      <c r="R28" s="23"/>
      <c r="S28" s="23"/>
      <c r="T28" s="23"/>
      <c r="U28" s="23"/>
      <c r="V28" s="160"/>
    </row>
    <row r="29" spans="3:22" ht="15" customHeight="1" x14ac:dyDescent="0.2">
      <c r="C29" s="168"/>
      <c r="D29" s="150"/>
      <c r="E29" s="150"/>
      <c r="F29" s="150"/>
      <c r="G29" s="150"/>
      <c r="H29" s="150"/>
      <c r="I29" s="150"/>
      <c r="J29" s="150"/>
      <c r="K29" s="150"/>
      <c r="L29" s="151"/>
      <c r="M29" s="27"/>
      <c r="N29" s="23"/>
      <c r="O29" s="23"/>
      <c r="P29" s="23"/>
      <c r="Q29" s="23"/>
      <c r="R29" s="23"/>
      <c r="S29" s="23"/>
      <c r="T29" s="23"/>
      <c r="U29" s="23"/>
      <c r="V29" s="160"/>
    </row>
    <row r="30" spans="3:22" ht="15" customHeight="1" x14ac:dyDescent="0.2">
      <c r="C30" s="168"/>
      <c r="D30" s="150"/>
      <c r="E30" s="150"/>
      <c r="F30" s="150"/>
      <c r="G30" s="150"/>
      <c r="H30" s="150"/>
      <c r="I30" s="150"/>
      <c r="J30" s="150"/>
      <c r="K30" s="150"/>
      <c r="L30" s="151"/>
      <c r="M30" s="27"/>
      <c r="N30" s="23"/>
      <c r="O30" s="23"/>
      <c r="P30" s="23"/>
      <c r="Q30" s="23"/>
      <c r="R30" s="23"/>
      <c r="S30" s="23"/>
      <c r="T30" s="23"/>
      <c r="U30" s="23"/>
      <c r="V30" s="160"/>
    </row>
    <row r="31" spans="3:22" ht="15" customHeight="1" x14ac:dyDescent="0.2">
      <c r="C31" s="168"/>
      <c r="D31" s="150"/>
      <c r="E31" s="150"/>
      <c r="F31" s="150"/>
      <c r="G31" s="150"/>
      <c r="H31" s="150"/>
      <c r="I31" s="150"/>
      <c r="J31" s="150"/>
      <c r="K31" s="150"/>
      <c r="L31" s="151"/>
      <c r="M31" s="27"/>
      <c r="N31" s="23"/>
      <c r="O31" s="23"/>
      <c r="P31" s="23"/>
      <c r="Q31" s="23"/>
      <c r="R31" s="23"/>
      <c r="S31" s="23"/>
      <c r="T31" s="23"/>
      <c r="U31" s="23"/>
      <c r="V31" s="160"/>
    </row>
    <row r="32" spans="3:22" ht="15" customHeight="1" x14ac:dyDescent="0.2">
      <c r="C32" s="168"/>
      <c r="D32" s="150"/>
      <c r="E32" s="150"/>
      <c r="F32" s="150"/>
      <c r="G32" s="150"/>
      <c r="H32" s="150"/>
      <c r="I32" s="150"/>
      <c r="J32" s="150"/>
      <c r="K32" s="150"/>
      <c r="L32" s="151"/>
      <c r="M32" s="27"/>
      <c r="N32" s="23"/>
      <c r="O32" s="23"/>
      <c r="P32" s="23"/>
      <c r="Q32" s="23"/>
      <c r="R32" s="23"/>
      <c r="S32" s="23"/>
      <c r="T32" s="23"/>
      <c r="U32" s="23"/>
      <c r="V32" s="160"/>
    </row>
    <row r="33" spans="3:22" ht="15" customHeight="1" x14ac:dyDescent="0.2">
      <c r="C33" s="168"/>
      <c r="D33" s="150"/>
      <c r="E33" s="150"/>
      <c r="F33" s="150"/>
      <c r="G33" s="150"/>
      <c r="H33" s="150"/>
      <c r="I33" s="150"/>
      <c r="J33" s="150"/>
      <c r="K33" s="150"/>
      <c r="L33" s="151"/>
      <c r="M33" s="27"/>
      <c r="N33" s="23"/>
      <c r="O33" s="23"/>
      <c r="P33" s="23"/>
      <c r="Q33" s="23"/>
      <c r="R33" s="23"/>
      <c r="S33" s="23"/>
      <c r="T33" s="23"/>
      <c r="U33" s="23"/>
      <c r="V33" s="160"/>
    </row>
    <row r="34" spans="3:22" ht="15" customHeight="1" x14ac:dyDescent="0.2">
      <c r="C34" s="168"/>
      <c r="D34" s="150"/>
      <c r="E34" s="150"/>
      <c r="F34" s="150"/>
      <c r="G34" s="150"/>
      <c r="H34" s="150"/>
      <c r="I34" s="150"/>
      <c r="J34" s="150"/>
      <c r="K34" s="150"/>
      <c r="L34" s="151"/>
      <c r="M34" s="27"/>
      <c r="N34" s="23"/>
      <c r="O34" s="23"/>
      <c r="P34" s="23"/>
      <c r="Q34" s="23"/>
      <c r="R34" s="23"/>
      <c r="S34" s="23"/>
      <c r="T34" s="23"/>
      <c r="U34" s="23"/>
      <c r="V34" s="145">
        <v>9</v>
      </c>
    </row>
    <row r="35" spans="3:22" ht="15.75" customHeight="1" thickBot="1" x14ac:dyDescent="0.25">
      <c r="C35" s="169"/>
      <c r="D35" s="152"/>
      <c r="E35" s="152"/>
      <c r="F35" s="152"/>
      <c r="G35" s="152"/>
      <c r="H35" s="152"/>
      <c r="I35" s="152"/>
      <c r="J35" s="152"/>
      <c r="K35" s="152"/>
      <c r="L35" s="153"/>
      <c r="M35" s="37"/>
      <c r="N35" s="29"/>
      <c r="O35" s="29"/>
      <c r="P35" s="29"/>
      <c r="Q35" s="29"/>
      <c r="R35" s="29"/>
      <c r="S35" s="29"/>
      <c r="T35" s="29"/>
      <c r="U35" s="29"/>
      <c r="V35" s="146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>
        <f>_xlfn.XLOOKUP(D19,SprintBackLog[ATIVIDADE],SprintBackLog[DURAÇÃO])</f>
        <v>1</v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 t="str">
        <f>_xlfn.XLOOKUP(D20,SprintBackLog[ATIVIDADE],SprintBackLog[DURAÇÃO])</f>
        <v/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 t="str">
        <f>_xlfn.XLOOKUP(D21,SprintBackLog[ATIVIDADE],SprintBackLog[DURAÇÃO])</f>
        <v/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 t="str">
        <f>_xlfn.XLOOKUP(D22,SprintBackLog[ATIVIDADE],SprintBackLog[DURAÇÃO])</f>
        <v/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 t="str">
        <f>_xlfn.XLOOKUP(D23,SprintBackLog[ATIVIDADE],SprintBackLog[DURAÇÃO])</f>
        <v/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 t="str">
        <f>_xlfn.XLOOKUP(D24,SprintBackLog[ATIVIDADE],SprintBackLog[DURAÇÃO])</f>
        <v/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 t="str">
        <f>_xlfn.XLOOKUP(D25,SprintBackLog[ATIVIDADE],SprintBackLog[DURAÇÃO])</f>
        <v/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 t="str">
        <f>_xlfn.XLOOKUP(D26,SprintBackLog[ATIVIDADE],SprintBackLog[DURAÇÃO])</f>
        <v/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 t="str">
        <f>_xlfn.XLOOKUP(D27,SprintBackLog[ATIVIDADE],SprintBackLog[DURAÇÃO])</f>
        <v/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 t="str">
        <f>_xlfn.XLOOKUP(D28,SprintBackLog[ATIVIDADE],SprintBackLog[DURAÇÃO])</f>
        <v/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 t="str">
        <f>_xlfn.XLOOKUP(D29,SprintBackLog[ATIVIDADE],SprintBackLog[DURAÇÃO])</f>
        <v/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 t="str">
        <f>_xlfn.XLOOKUP(D30,SprintBackLog[ATIVIDADE],SprintBackLog[DURAÇÃO])</f>
        <v/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 t="str">
        <f>_xlfn.XLOOKUP(D31,SprintBackLog[ATIVIDADE],SprintBackLog[DURAÇÃO])</f>
        <v/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str">
        <f>_xlfn.XLOOKUP(D32,SprintBackLog[ATIVIDADE],SprintBackLog[DURAÇÃO])</f>
        <v/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str">
        <f>_xlfn.XLOOKUP(D33,SprintBackLog[ATIVIDADE],SprintBackLog[DURAÇÃO])</f>
        <v/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str">
        <f>_xlfn.XLOOKUP(D34,SprintBackLog[ATIVIDADE],SprintBackLog[DURAÇÃO])</f>
        <v/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str">
        <f>_xlfn.XLOOKUP(D35,SprintBackLog[ATIVIDADE],SprintBackLog[DURAÇÃO])</f>
        <v/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str">
        <f>_xlfn.XLOOKUP(D36,SprintBackLog[ATIVIDADE],SprintBackLog[DURAÇÃO])</f>
        <v/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 t="str">
        <f>_xlfn.XLOOKUP(D37,SprintBackLog[ATIVIDADE],SprintBackLog[DURAÇÃO])</f>
        <v/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 t="str">
        <f>_xlfn.XLOOKUP(D38,SprintBackLog[ATIVIDADE],SprintBackLog[DURAÇÃO])</f>
        <v/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str">
        <f>_xlfn.XLOOKUP(D39,SprintBackLog[ATIVIDADE],SprintBackLog[DURAÇÃO])</f>
        <v/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 t="str">
        <f>_xlfn.XLOOKUP(D40,SprintBackLog[ATIVIDADE],SprintBackLog[DURAÇÃO])</f>
        <v/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70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71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25</vt:i4>
      </vt:variant>
    </vt:vector>
  </HeadingPairs>
  <TitlesOfParts>
    <vt:vector size="36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2021-03-27T14:53:45Z</dcterms:modified>
</cp:coreProperties>
</file>