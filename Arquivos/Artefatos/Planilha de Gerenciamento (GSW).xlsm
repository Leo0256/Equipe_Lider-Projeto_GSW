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yggdr\Downloads\"/>
    </mc:Choice>
  </mc:AlternateContent>
  <xr:revisionPtr revIDLastSave="0" documentId="13_ncr:1_{B854A96F-337A-4CBD-A621-31C4A2665243}" xr6:coauthVersionLast="46" xr6:coauthVersionMax="46" xr10:uidLastSave="{00000000-0000-0000-0000-000000000000}"/>
  <bookViews>
    <workbookView xWindow="-120" yWindow="-120" windowWidth="20730" windowHeight="11160" activeTab="6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BDW 1" sheetId="24" state="hidden" r:id="rId11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0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0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0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0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0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2" l="1"/>
  <c r="H12" i="12"/>
  <c r="E42" i="19"/>
  <c r="G42" i="19"/>
  <c r="F42" i="19"/>
  <c r="C4" i="25" l="1"/>
  <c r="E12" i="25"/>
  <c r="F12" i="25"/>
  <c r="G12" i="25"/>
  <c r="H5" i="12"/>
  <c r="H6" i="12"/>
  <c r="H13" i="12"/>
  <c r="H14" i="12"/>
  <c r="H8" i="12"/>
  <c r="E11" i="24" s="1"/>
  <c r="H9" i="12"/>
  <c r="E12" i="24" s="1"/>
  <c r="H10" i="12"/>
  <c r="E13" i="24" s="1"/>
  <c r="H1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6" i="25" l="1"/>
  <c r="E5" i="25"/>
  <c r="I30" i="19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E9" i="24"/>
  <c r="E8" i="25" l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<sst xmlns="http://schemas.openxmlformats.org/spreadsheetml/2006/main" count="554" uniqueCount="274">
  <si>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</si>
  <si>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</si>
  <si>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</si>
  <si>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</si>
  <si>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</si>
  <si>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</si>
  <si>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</si>
  <si>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</si>
  <si>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</si>
  <si>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</si>
  <si>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</si>
  <si>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</si>
  <si>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</si>
  <si>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</si>
  <si>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</si>
  <si>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</si>
  <si>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</si>
  <si>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</si>
  <si>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</si>
  <si>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</si>
  <si>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</si>
  <si>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</si>
  <si>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</si>
  <si>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</si>
  <si>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</si>
  <si>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</si>
  <si>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</si>
  <si>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</si>
  <si>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</si>
  <si>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</si>
  <si>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</si>
  <si>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</si>
  <si>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</si>
  <si>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</si>
  <si>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</si>
  <si>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</si>
  <si>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</si>
  <si>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</si>
  <si>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</si>
  <si>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</si>
  <si>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</si>
  <si>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</si>
  <si>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</si>
  <si>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</si>
  <si>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</si>
  <si>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</si>
  <si>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</si>
  <si>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</si>
  <si>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</si>
  <si>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</si>
  <si>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</si>
  <si>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</si>
  <si>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</si>
  <si>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</si>
  <si>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</si>
  <si>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</si>
  <si>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</si>
  <si>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</si>
  <si>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</si>
  <si>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</si>
  <si>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</si>
  <si>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</si>
  <si>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</si>
  <si>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</si>
  <si>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</si>
  <si>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</si>
  <si>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</si>
  <si>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</si>
  <si>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</si>
  <si>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</si>
  <si>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</si>
  <si>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</si>
  <si>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</si>
  <si>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</si>
  <si>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</si>
  <si>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</si>
  <si>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</si>
  <si>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</si>
  <si>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</si>
  <si>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</si>
  <si>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</si>
  <si>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</si>
  <si>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</si>
  <si>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</si>
  <si>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</si>
  <si>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</si>
  <si>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</si>
  <si>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</si>
  <si>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</si>
  <si>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</si>
  <si>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</si>
  <si>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</si>
  <si>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</si>
  <si>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</si>
  <si>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</si>
  <si>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</si>
  <si>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</si>
  <si>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</si>
  <si>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</si>
  <si>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</si>
  <si>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</si>
  <si>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</si>
  <si>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</si>
  <si>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</si>
  <si>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</si>
  <si>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</si>
  <si>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</si>
  <si>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</si>
  <si>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</si>
  <si>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</si>
  <si>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</si>
  <si>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</si>
  <si>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</si>
  <si>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</si>
  <si>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</si>
  <si>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</si>
  <si>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</si>
  <si>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</si>
  <si>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</si>
  <si>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</si>
  <si>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</si>
  <si>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</si>
  <si>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</si>
  <si>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</si>
  <si>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</si>
  <si>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</si>
  <si>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</si>
  <si>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</si>
  <si>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</si>
  <si>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</si>
  <si>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</si>
  <si>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</si>
  <si>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</si>
  <si>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</si>
  <si>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</si>
  <si>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</si>
  <si>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</si>
  <si>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</si>
  <si>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</si>
  <si>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</si>
  <si>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</si>
  <si>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</si>
  <si>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</si>
  <si>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</si>
  <si>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</si>
  <si>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</si>
  <si>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</si>
  <si>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</si>
  <si>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</si>
  <si>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</si>
  <si>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</si>
  <si>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</si>
  <si>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</si>
  <si>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</si>
  <si>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</si>
  <si>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</si>
  <si>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</si>
  <si>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</si>
  <si>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</si>
  <si>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</si>
  <si>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</si>
  <si>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</si>
  <si>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</si>
  <si>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</si>
  <si>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</si>
  <si>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</si>
  <si>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</si>
  <si>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</si>
  <si>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</si>
  <si>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</si>
  <si>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</si>
  <si>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</si>
  <si>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</si>
  <si>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</si>
  <si>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</si>
  <si>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</si>
  <si>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</si>
  <si>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</si>
  <si>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</si>
  <si>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</si>
  <si>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</si>
  <si>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</si>
  <si>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</si>
  <si>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</si>
  <si>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</si>
  <si>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</si>
  <si>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</si>
  <si>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</si>
  <si>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</si>
  <si>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</si>
  <si>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</si>
  <si>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</si>
  <si>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</si>
  <si>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</si>
  <si>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</si>
  <si>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</si>
  <si>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</si>
  <si>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</si>
  <si>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</si>
  <si>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</si>
  <si>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</si>
  <si>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</si>
  <si>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</si>
  <si>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</si>
  <si>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</si>
  <si>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</si>
  <si>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</si>
  <si>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</si>
  <si>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</si>
  <si>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</si>
  <si>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</si>
  <si>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</si>
  <si>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</si>
  <si>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manipular os dados registrados PARA a administração de cada projeto. </t>
  </si>
  <si>
    <t xml:space="preserve">Eu COMO usuário DESEJO a funcionalidade CREATE, PARA acrescentar novos dados ao sistema. </t>
  </si>
  <si>
    <t xml:space="preserve">Eu COMO usuário DESEJO a funcionalidade READ, PARA acessar os dados ao sistema. </t>
  </si>
  <si>
    <t xml:space="preserve">Eu COMO usuário DESEJO a funcionalidade UPDATE, PARA atualizar os dados do sistema. </t>
  </si>
  <si>
    <t xml:space="preserve">Eu COMO usuário DESEJO a funcionalidade DELETE, PARA deletar dados do sistema.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</si>
  <si>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</si>
  <si>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</si>
  <si>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 porcentagem de dedicação de cada integrante da equipe, PARA obter um parâmetro na avaliação individual.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</si>
  <si>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</si>
  <si>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</si>
  <si>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</si>
  <si>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</si>
  <si>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</si>
  <si>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</si>
  <si>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</si>
  <si>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</si>
  <si>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</si>
  <si>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</si>
  <si>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</si>
  <si>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</si>
  <si>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5.3</t>
  </si>
  <si>
    <t>5.4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</si>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</sst>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72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" xfId="0" applyFont="1" applyBorder="1" applyAlignment="1">
      <alignment vertical="center"/>
    </xf>
    <xf numFmtId="1" fontId="0" fillId="0" borderId="1" xfId="0" applyNumberFormat="1" applyFont="1" applyBorder="1" applyAlignment="1">
      <alignment vertic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</cellXfs>
  <cellStyles count="3">
    <cellStyle name="Hiperlink" xfId="1" builtinId="8"/>
    <cellStyle name="Normal" xfId="0" builtinId="0"/>
    <cellStyle name="Porcentagem" xfId="2" builtinId="5"/>
  </cellStyles>
  <dxfs count="72"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106</c:v>
                </c:pt>
                <c:pt idx="1">
                  <c:v>106</c:v>
                </c:pt>
                <c:pt idx="2">
                  <c:v>103</c:v>
                </c:pt>
                <c:pt idx="3">
                  <c:v>100</c:v>
                </c:pt>
                <c:pt idx="4">
                  <c:v>97</c:v>
                </c:pt>
                <c:pt idx="5">
                  <c:v>94</c:v>
                </c:pt>
                <c:pt idx="6">
                  <c:v>88</c:v>
                </c:pt>
                <c:pt idx="7">
                  <c:v>81</c:v>
                </c:pt>
                <c:pt idx="8">
                  <c:v>75</c:v>
                </c:pt>
                <c:pt idx="9">
                  <c:v>70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60</c:v>
                </c:pt>
                <c:pt idx="14">
                  <c:v>51</c:v>
                </c:pt>
                <c:pt idx="15">
                  <c:v>42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106</c:v>
                </c:pt>
                <c:pt idx="1">
                  <c:v>100.42105263157895</c:v>
                </c:pt>
                <c:pt idx="2">
                  <c:v>94.84210526315789</c:v>
                </c:pt>
                <c:pt idx="3">
                  <c:v>89.263157894736835</c:v>
                </c:pt>
                <c:pt idx="4">
                  <c:v>83.68421052631578</c:v>
                </c:pt>
                <c:pt idx="5">
                  <c:v>78.105263157894726</c:v>
                </c:pt>
                <c:pt idx="6">
                  <c:v>72.526315789473671</c:v>
                </c:pt>
                <c:pt idx="7">
                  <c:v>66.947368421052616</c:v>
                </c:pt>
                <c:pt idx="8">
                  <c:v>61.368421052631561</c:v>
                </c:pt>
                <c:pt idx="9">
                  <c:v>55.789473684210506</c:v>
                </c:pt>
                <c:pt idx="10">
                  <c:v>50.210526315789451</c:v>
                </c:pt>
                <c:pt idx="11">
                  <c:v>44.631578947368396</c:v>
                </c:pt>
                <c:pt idx="12">
                  <c:v>39.052631578947341</c:v>
                </c:pt>
                <c:pt idx="13">
                  <c:v>33.473684210526287</c:v>
                </c:pt>
                <c:pt idx="14">
                  <c:v>27.894736842105235</c:v>
                </c:pt>
                <c:pt idx="15">
                  <c:v>22.315789473684184</c:v>
                </c:pt>
                <c:pt idx="16">
                  <c:v>16.736842105263133</c:v>
                </c:pt>
                <c:pt idx="17">
                  <c:v>11.157894736842081</c:v>
                </c:pt>
                <c:pt idx="18">
                  <c:v>5.5789473684210291</c:v>
                </c:pt>
                <c:pt idx="19">
                  <c:v>-2.3092638912203256E-14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SPRINT1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71" dataDxfId="70">
  <autoFilter ref="C4:J16" xr:uid="{A82FE305-C27C-457D-80CB-CEBBD19252AB}"/>
  <tableColumns count="8">
    <tableColumn id="1" xr3:uid="{8EC7D7B2-931E-4259-85F8-9646B745AB9C}" name="Evento" dataDxfId="69"/>
    <tableColumn id="5" xr3:uid="{34BB05BA-D959-4A7F-BC47-32E99D97A2A1}" name="Data Início" dataDxfId="68"/>
    <tableColumn id="6" xr3:uid="{E660A6CB-1441-4B4C-81C7-8504809644BD}" name="Data Entrega" dataDxfId="67"/>
    <tableColumn id="7" xr3:uid="{890A17A9-6AD0-4F52-BED9-2A7B5DEBAF0D}" name="Valor" dataDxfId="66"/>
    <tableColumn id="9" xr3:uid="{13E25AF1-BAF1-45BC-85A7-FAB976C5603B}" name="Avaliado" dataDxfId="65"/>
    <tableColumn id="4" xr3:uid="{A88EFAEF-7BE4-42C2-8B5B-375163D11085}" name="Data Planning" dataDxfId="64"/>
    <tableColumn id="2" xr3:uid="{7E93B85F-42DC-401C-BA5D-7CE07AB18502}" name="Objetivo" dataDxfId="63"/>
    <tableColumn id="3" xr3:uid="{76EBBE44-1339-4FF9-98E1-ABC83415AD2A}" name="Duração Estimado (d)" dataDxfId="62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61" dataDxfId="60">
  <autoFilter ref="C4:G13" xr:uid="{25878894-F0A8-4374-85DA-B0F17C5D212F}"/>
  <tableColumns count="5">
    <tableColumn id="1" xr3:uid="{47D702F4-B438-460A-B620-478B58CA7E9F}" name="Data de Registro" dataDxfId="59"/>
    <tableColumn id="2" xr3:uid="{AE003982-DC45-4049-B74E-CE3C3E40988D}" name="Colaborador (a)" dataDxfId="58"/>
    <tableColumn id="3" xr3:uid="{BE8558D0-C492-4781-9112-9DE7B9198122}" name="O que fez ontem?" dataDxfId="57"/>
    <tableColumn id="4" xr3:uid="{37975349-691C-4C13-8E04-242B3629FBAD}" name="O que vai fazer hoje?" dataDxfId="56"/>
    <tableColumn id="5" xr3:uid="{6376F944-27A6-4606-9497-2CF4482875B4}" name="Tem algum impedimento?" dataDxfId="55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20" totalsRowShown="0" headerRowDxfId="54" dataDxfId="53">
  <autoFilter ref="C4:C20" xr:uid="{9214C94E-0A94-411D-B459-00CDF3D9E8F2}"/>
  <tableColumns count="1">
    <tableColumn id="1" xr3:uid="{8FB84E9F-A3A6-4BAA-A6A4-56A19E3118E0}" name="SPRINT1" dataDxfId="52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20" totalsRowShown="0" headerRowDxfId="51" dataDxfId="50">
  <autoFilter ref="E4:E20" xr:uid="{42E3C4CB-7C35-431C-9EAC-7AC9F81476F2}"/>
  <tableColumns count="1">
    <tableColumn id="1" xr3:uid="{C1270632-3B56-4290-92BA-093385A5E1C3}" name="SPRINT2" dataDxfId="49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20" totalsRowShown="0" headerRowDxfId="48" dataDxfId="47">
  <autoFilter ref="G4:G20" xr:uid="{4A5F5495-E36C-4391-9C8D-F7D63FB1E862}"/>
  <tableColumns count="1">
    <tableColumn id="1" xr3:uid="{09A67103-6042-4310-89F6-1319DDC9A647}" name="SPRINT3" dataDxfId="46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20" totalsRowShown="0" headerRowDxfId="45" dataDxfId="44">
  <autoFilter ref="I4:I20" xr:uid="{311C97B3-4606-4DA7-8A29-61B0450D99A4}"/>
  <tableColumns count="1">
    <tableColumn id="1" xr3:uid="{07A1E61C-9C57-4545-AD65-F3E6A40CACE2}" name="SPRINT4" dataDxfId="43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42" dataDxfId="41">
  <autoFilter ref="K4:K8" xr:uid="{FD51E08D-04DE-4772-8ABC-000C3AD5CC4F}"/>
  <tableColumns count="1">
    <tableColumn id="1" xr3:uid="{503A7A8E-44DE-48DD-B456-7933001AEFB4}" name="SPRINTS" dataDxfId="4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39" dataDxfId="38">
  <autoFilter ref="C4:N75" xr:uid="{7E414E52-ECEF-471C-A190-F777CF080EC0}"/>
  <sortState xmlns:xlrd2="http://schemas.microsoft.com/office/spreadsheetml/2017/richdata2" ref="C5:L75">
    <sortCondition ref="L6:L75" customList="Em Atraso,Em Andamento,Em Espera,Transferido,Concluído"/>
    <sortCondition ref="D6:D75"/>
    <sortCondition ref="J6:J75" customList="Essencial,Importante,Desejável"/>
    <sortCondition ref="K6:K75" customList="Alta,Média,Baixa"/>
  </sortState>
  <tableColumns count="12">
    <tableColumn id="1" xr3:uid="{8E8068D2-921F-40B4-9AC0-7B084C20B077}" name="FUNCIONALIDADE" dataDxfId="37"/>
    <tableColumn id="2" xr3:uid="{0FF1891E-49F8-4F83-90B4-4DD8621B2A2D}" name="SPRINT" dataDxfId="36"/>
    <tableColumn id="11" xr3:uid="{8D91D91F-5C27-4A57-A886-256238468055}" name="USER STORY" dataDxfId="35"/>
    <tableColumn id="3" xr3:uid="{B8B1D3D2-AE21-4363-B2A8-9F8427329F93}" name="ATIVIDADE" dataDxfId="34"/>
    <tableColumn id="4" xr3:uid="{5DC8590F-D246-4F1F-8283-B222CB428837}" name="PLANNING POKER" dataDxfId="33"/>
    <tableColumn id="6" xr3:uid="{9D874750-3F10-463C-BC16-978EBEED4DFD}" name="DURAÇÃO" dataDxfId="32">
      <calculatedColumnFormula>IFERROR(VLOOKUP($G5,LGD!$M$5:$N$11,2,0),"")</calculatedColumnFormula>
    </tableColumn>
    <tableColumn id="7" xr3:uid="{CF284E18-51A9-4E15-A5FE-13464E1E178D}" name="COLABORADOR (A)" dataDxfId="31"/>
    <tableColumn id="12" xr3:uid="{21349AE6-2347-4DE2-B83B-D4B523FD4A2F}" name="CATEGORIA" dataDxfId="30"/>
    <tableColumn id="8" xr3:uid="{831EDC5D-70DA-4FAD-A84E-DBF1793D073C}" name="PRIORIDADE" dataDxfId="29"/>
    <tableColumn id="9" xr3:uid="{BA91E7CE-9B27-4176-AA72-7C35AE52D31B}" name="STATUS" dataDxfId="28"/>
    <tableColumn id="5" xr3:uid="{83D08DF9-9C66-4573-90AB-0E15BD6F0D54}" name="DATA INÍCIO" dataDxfId="27"/>
    <tableColumn id="10" xr3:uid="{1B91932A-9D30-48EE-B750-05F18EB46F14}" name="DATA TÉRMINO" dataDxfId="26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25" dataDxfId="24" totalsRowDxfId="2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22"/>
    <tableColumn id="2" xr3:uid="{6DC44DEF-F161-4CCC-B272-2F8CA6C2B768}" name="ATIVIDADES" dataDxfId="21"/>
    <tableColumn id="3" xr3:uid="{F0F078A5-D31D-45C9-8B3F-6A7A7D72C375}" name="PERÍODO" dataDxfId="20">
      <calculatedColumnFormula>_xlfn.XLOOKUP(D5,SprintBackLog[ATIVIDADE],SprintBackLog[DURAÇÃO])</calculatedColumnFormula>
    </tableColumn>
    <tableColumn id="4" xr3:uid="{A0F9FBEF-6804-4F24-8D9B-BA513B2CCE54}" name="DIA 1" dataDxfId="19"/>
    <tableColumn id="5" xr3:uid="{32CF9CAC-4132-4516-96A6-5601B3E69F75}" name="DIA 2" dataDxfId="18"/>
    <tableColumn id="6" xr3:uid="{13F4CF45-261D-4632-980D-8765020BF450}" name="DIA 3" dataDxfId="17"/>
    <tableColumn id="7" xr3:uid="{48F746A1-B205-468F-8B92-2B596DD38B6B}" name="DIA 4" dataDxfId="16"/>
    <tableColumn id="8" xr3:uid="{7485B641-5DC3-49F3-8259-944A43C92398}" name="DIA 5" dataDxfId="15"/>
    <tableColumn id="9" xr3:uid="{9D8EB3AF-6DE7-4FC4-9DD9-9245C9EC1512}" name="DIA 6" dataDxfId="14"/>
    <tableColumn id="10" xr3:uid="{4E3CCF69-4C28-47A6-99E8-0970367FC169}" name="DIA 7" dataDxfId="13"/>
    <tableColumn id="11" xr3:uid="{51A5F9D3-6E45-4143-83F8-78B292517988}" name="DIA 8" dataDxfId="12"/>
    <tableColumn id="12" xr3:uid="{4F69013A-C7A0-492A-AE27-6539D3E4B2EC}" name="DIA 9" dataDxfId="11"/>
    <tableColumn id="13" xr3:uid="{1F6EAB22-7668-44F1-8D5A-A48B7B64EF09}" name="DIA 10" totalsRowFunction="sum" dataDxfId="1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5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33" customHeight="1" x14ac:dyDescent="0.2">
      <c r="A2" s="7"/>
      <c r="B2" s="7"/>
      <c r="C2" s="7"/>
      <c r="D2" s="122"/>
      <c r="E2" s="122"/>
      <c r="F2" s="122"/>
      <c r="G2" s="122"/>
      <c r="H2" s="122"/>
      <c r="I2" s="122"/>
      <c r="J2" s="122"/>
      <c r="K2" s="122"/>
      <c r="L2" s="122"/>
      <c r="M2" s="122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showRowColHeaders="0" workbookViewId="0">
      <pane xSplit="17" ySplit="2" topLeftCell="R3" activePane="bottomRight" state="frozen"/>
      <selection activeCell="J22" sqref="J22"/>
      <selection pane="topRight" activeCell="J22" sqref="J22"/>
      <selection pane="bottomLeft" activeCell="J22" sqref="J22"/>
      <selection pane="bottomRight" activeCell="M14" sqref="M14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246</v>
      </c>
      <c r="R4" s="38" t="s">
        <v>0</v>
      </c>
    </row>
    <row r="5" spans="1:18" x14ac:dyDescent="0.2">
      <c r="C5" s="40" t="s">
        <v>19</v>
      </c>
      <c r="E5" s="40" t="s">
        <v>250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247</v>
      </c>
      <c r="R5" s="40" t="s">
        <v>80</v>
      </c>
    </row>
    <row r="6" spans="1:18" x14ac:dyDescent="0.2">
      <c r="C6" s="40" t="s">
        <v>44</v>
      </c>
      <c r="E6" s="40" t="s">
        <v>251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248</v>
      </c>
      <c r="R6" s="40" t="s">
        <v>81</v>
      </c>
    </row>
    <row r="7" spans="1:18" x14ac:dyDescent="0.2">
      <c r="C7" s="40" t="s">
        <v>10</v>
      </c>
      <c r="E7" s="40" t="s">
        <v>252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/>
      <c r="N12"/>
    </row>
    <row r="13" spans="1:18" ht="15" x14ac:dyDescent="0.25">
      <c r="E13"/>
      <c r="K13" s="40" t="s">
        <v>100</v>
      </c>
    </row>
    <row r="14" spans="1:18" ht="15" x14ac:dyDescent="0.25">
      <c r="E14"/>
      <c r="K14" s="101" t="s">
        <v>239</v>
      </c>
    </row>
    <row r="15" spans="1:18" ht="15" x14ac:dyDescent="0.25">
      <c r="E15"/>
      <c r="K15" s="101" t="s">
        <v>240</v>
      </c>
    </row>
    <row r="16" spans="1:18" ht="15" x14ac:dyDescent="0.25">
      <c r="E16"/>
      <c r="K16" s="101" t="s">
        <v>243</v>
      </c>
    </row>
    <row r="17" spans="5:11" ht="15" x14ac:dyDescent="0.25">
      <c r="E17"/>
      <c r="K17" s="101" t="s">
        <v>241</v>
      </c>
    </row>
    <row r="18" spans="5:11" ht="15" x14ac:dyDescent="0.25">
      <c r="E18"/>
      <c r="K18" s="101" t="s">
        <v>242</v>
      </c>
    </row>
    <row r="19" spans="5:11" ht="29.25" x14ac:dyDescent="0.25">
      <c r="E19"/>
      <c r="K19" s="170" t="s">
        <v>272</v>
      </c>
    </row>
    <row r="20" spans="5:11" ht="15" x14ac:dyDescent="0.25">
      <c r="E20"/>
      <c r="K20" s="3"/>
    </row>
    <row r="21" spans="5:11" ht="15" x14ac:dyDescent="0.25">
      <c r="E21"/>
      <c r="K21" s="3"/>
    </row>
    <row r="22" spans="5:11" ht="15" x14ac:dyDescent="0.25">
      <c r="E22"/>
      <c r="K22" s="3"/>
    </row>
    <row r="23" spans="5:11" ht="15" x14ac:dyDescent="0.25">
      <c r="E23"/>
      <c r="K23" s="3"/>
    </row>
    <row r="24" spans="5:11" ht="15" x14ac:dyDescent="0.25">
      <c r="E24"/>
      <c r="K24" s="3"/>
    </row>
    <row r="25" spans="5:11" ht="15" x14ac:dyDescent="0.25">
      <c r="E25"/>
      <c r="K25" s="3"/>
    </row>
    <row r="26" spans="5:11" ht="15" x14ac:dyDescent="0.25">
      <c r="E26"/>
      <c r="K26" s="3"/>
    </row>
    <row r="27" spans="5:11" ht="15" x14ac:dyDescent="0.25">
      <c r="E27"/>
      <c r="K27" s="3"/>
    </row>
    <row r="28" spans="5:11" ht="15" x14ac:dyDescent="0.25">
      <c r="E28"/>
      <c r="K28" s="3"/>
    </row>
    <row r="29" spans="5:11" ht="15" x14ac:dyDescent="0.25">
      <c r="E29"/>
      <c r="K29" s="3"/>
    </row>
    <row r="30" spans="5:11" ht="15" x14ac:dyDescent="0.25">
      <c r="E30"/>
      <c r="K30" s="3"/>
    </row>
    <row r="31" spans="5:11" ht="15" x14ac:dyDescent="0.25">
      <c r="E31"/>
      <c r="K31" s="3"/>
    </row>
    <row r="32" spans="5:11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23"/>
      <c r="E2" s="123"/>
      <c r="F2" s="123"/>
      <c r="G2" s="123"/>
      <c r="H2" s="123"/>
      <c r="I2" s="123"/>
      <c r="J2" s="123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24" t="s">
        <v>68</v>
      </c>
      <c r="D18" s="124"/>
      <c r="E18" s="124"/>
      <c r="F18" s="124"/>
      <c r="G18" s="124"/>
      <c r="H18" s="124"/>
      <c r="I18" s="124"/>
      <c r="J18" s="124"/>
    </row>
    <row r="19" spans="3:10" x14ac:dyDescent="0.2">
      <c r="C19" s="125"/>
      <c r="D19" s="125"/>
      <c r="E19" s="125"/>
      <c r="F19" s="125"/>
      <c r="G19" s="125"/>
      <c r="H19" s="125"/>
      <c r="I19" s="125"/>
      <c r="J19" s="125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23"/>
      <c r="E2" s="123"/>
      <c r="F2" s="123"/>
      <c r="G2" s="123"/>
      <c r="H2" s="123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ht="15" x14ac:dyDescent="0.2">
      <c r="C15" s="124" t="s">
        <v>94</v>
      </c>
      <c r="D15" s="124"/>
      <c r="E15" s="124"/>
      <c r="F15" s="124"/>
      <c r="G15" s="124"/>
    </row>
    <row r="16" spans="1:10" x14ac:dyDescent="0.2">
      <c r="C16" s="125"/>
      <c r="D16" s="125"/>
      <c r="E16" s="125"/>
      <c r="F16" s="125"/>
      <c r="G16" s="125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14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6" t="s">
        <v>163</v>
      </c>
      <c r="I5" s="16" t="s">
        <v>166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164</v>
      </c>
      <c r="I6" s="16" t="s">
        <v>167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165</v>
      </c>
      <c r="I7" s="16" t="s">
        <v>168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/>
      <c r="I8" s="16" t="s">
        <v>169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/>
      <c r="I9" s="16" t="s">
        <v>170</v>
      </c>
    </row>
    <row r="10" spans="1:24" ht="25.35" customHeight="1" x14ac:dyDescent="0.2">
      <c r="C10" s="16" t="s">
        <v>144</v>
      </c>
      <c r="E10" s="16" t="s">
        <v>159</v>
      </c>
      <c r="G10" s="16"/>
      <c r="I10" s="16" t="s">
        <v>171</v>
      </c>
    </row>
    <row r="11" spans="1:24" ht="25.35" customHeight="1" x14ac:dyDescent="0.2">
      <c r="C11" s="16" t="s">
        <v>145</v>
      </c>
      <c r="E11" s="16" t="s">
        <v>160</v>
      </c>
      <c r="G11" s="16"/>
      <c r="I11" s="16" t="s">
        <v>172</v>
      </c>
    </row>
    <row r="12" spans="1:24" ht="28.5" x14ac:dyDescent="0.2">
      <c r="C12" s="16" t="s">
        <v>146</v>
      </c>
      <c r="E12" s="16" t="s">
        <v>161</v>
      </c>
      <c r="G12" s="16"/>
      <c r="I12" s="16" t="s">
        <v>173</v>
      </c>
    </row>
    <row r="13" spans="1:24" ht="25.35" customHeight="1" x14ac:dyDescent="0.2">
      <c r="C13" s="16" t="s">
        <v>147</v>
      </c>
      <c r="E13" s="16" t="s">
        <v>162</v>
      </c>
      <c r="G13" s="16"/>
      <c r="I13" s="16" t="s">
        <v>174</v>
      </c>
    </row>
    <row r="14" spans="1:24" ht="25.35" customHeight="1" x14ac:dyDescent="0.2">
      <c r="C14" s="16" t="s">
        <v>148</v>
      </c>
      <c r="E14" s="16"/>
      <c r="G14" s="16"/>
      <c r="I14" s="16"/>
    </row>
    <row r="15" spans="1:24" ht="25.35" customHeight="1" x14ac:dyDescent="0.2">
      <c r="C15" s="16" t="s">
        <v>149</v>
      </c>
      <c r="E15" s="16"/>
      <c r="G15" s="16"/>
      <c r="I15" s="16"/>
    </row>
    <row r="16" spans="1:24" ht="25.35" customHeight="1" x14ac:dyDescent="0.2">
      <c r="C16" s="16" t="s">
        <v>150</v>
      </c>
      <c r="E16" s="16"/>
      <c r="G16" s="16"/>
      <c r="I16" s="16"/>
    </row>
    <row r="17" spans="3:9" ht="25.35" customHeight="1" x14ac:dyDescent="0.2">
      <c r="C17" s="16" t="s">
        <v>151</v>
      </c>
      <c r="E17" s="16"/>
      <c r="G17" s="16"/>
      <c r="I17" s="16"/>
    </row>
    <row r="18" spans="3:9" ht="25.35" customHeight="1" x14ac:dyDescent="0.2">
      <c r="C18" s="16" t="s">
        <v>152</v>
      </c>
      <c r="E18" s="16"/>
      <c r="G18" s="16"/>
      <c r="I18" s="16"/>
    </row>
    <row r="19" spans="3:9" ht="25.35" customHeight="1" x14ac:dyDescent="0.2">
      <c r="C19" s="16" t="s">
        <v>153</v>
      </c>
      <c r="E19" s="16"/>
      <c r="G19" s="16"/>
      <c r="I19" s="16"/>
    </row>
    <row r="20" spans="3:9" ht="25.35" customHeight="1" x14ac:dyDescent="0.2">
      <c r="C20" s="16"/>
      <c r="E20" s="16"/>
      <c r="G20" s="16"/>
      <c r="I20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26" t="s">
        <v>273</v>
      </c>
      <c r="E23" s="126"/>
      <c r="G23" s="126"/>
      <c r="I23" s="126"/>
    </row>
    <row r="24" spans="3:9" x14ac:dyDescent="0.2">
      <c r="C24" s="127"/>
      <c r="E24" s="127"/>
      <c r="G24" s="127"/>
      <c r="I24" s="127"/>
    </row>
    <row r="25" spans="3:9" x14ac:dyDescent="0.2">
      <c r="C25" s="127"/>
      <c r="E25" s="127"/>
      <c r="G25" s="127"/>
      <c r="I25" s="127"/>
    </row>
    <row r="26" spans="3:9" x14ac:dyDescent="0.2">
      <c r="C26" s="127"/>
      <c r="E26" s="127"/>
      <c r="G26" s="127"/>
      <c r="I26" s="127"/>
    </row>
    <row r="27" spans="3:9" x14ac:dyDescent="0.2">
      <c r="C27" s="127"/>
      <c r="E27" s="127"/>
      <c r="G27" s="127"/>
      <c r="I27" s="127"/>
    </row>
    <row r="28" spans="3:9" x14ac:dyDescent="0.2">
      <c r="C28" s="127"/>
      <c r="E28" s="127"/>
      <c r="G28" s="127"/>
      <c r="I28" s="127"/>
    </row>
    <row r="29" spans="3:9" x14ac:dyDescent="0.2">
      <c r="C29" s="127"/>
      <c r="E29" s="127"/>
      <c r="G29" s="127"/>
      <c r="I29" s="127"/>
    </row>
    <row r="30" spans="3:9" x14ac:dyDescent="0.2">
      <c r="C30" s="127"/>
      <c r="E30" s="127"/>
      <c r="G30" s="127"/>
      <c r="I30" s="127"/>
    </row>
    <row r="31" spans="3:9" x14ac:dyDescent="0.2">
      <c r="C31" s="127"/>
      <c r="E31" s="127"/>
      <c r="G31" s="127"/>
      <c r="I31" s="127"/>
    </row>
    <row r="32" spans="3:9" x14ac:dyDescent="0.2">
      <c r="C32" s="127"/>
      <c r="E32" s="127"/>
      <c r="G32" s="127"/>
      <c r="I32" s="127"/>
    </row>
    <row r="33" spans="3:9" x14ac:dyDescent="0.2">
      <c r="C33" s="127"/>
      <c r="E33" s="127"/>
      <c r="G33" s="127"/>
      <c r="I33" s="127"/>
    </row>
    <row r="34" spans="3:9" x14ac:dyDescent="0.2">
      <c r="C34" s="127"/>
      <c r="E34" s="127"/>
      <c r="G34" s="127"/>
      <c r="I34" s="127"/>
    </row>
    <row r="35" spans="3:9" x14ac:dyDescent="0.2">
      <c r="C35" s="127"/>
      <c r="E35" s="127"/>
      <c r="G35" s="127"/>
      <c r="I35" s="127"/>
    </row>
    <row r="36" spans="3:9" x14ac:dyDescent="0.2">
      <c r="C36" s="127"/>
      <c r="E36" s="127"/>
      <c r="G36" s="127"/>
      <c r="I36" s="127"/>
    </row>
    <row r="37" spans="3:9" x14ac:dyDescent="0.2">
      <c r="C37" s="127"/>
      <c r="E37" s="127"/>
      <c r="G37" s="127"/>
      <c r="I37" s="127"/>
    </row>
    <row r="38" spans="3:9" x14ac:dyDescent="0.2">
      <c r="C38" s="127"/>
      <c r="E38" s="127"/>
      <c r="G38" s="127"/>
      <c r="I38" s="127"/>
    </row>
    <row r="39" spans="3:9" x14ac:dyDescent="0.2">
      <c r="C39" s="127"/>
      <c r="E39" s="127"/>
      <c r="G39" s="127"/>
      <c r="I39" s="127"/>
    </row>
    <row r="40" spans="3:9" x14ac:dyDescent="0.2">
      <c r="C40" s="127"/>
      <c r="E40" s="127"/>
      <c r="G40" s="127"/>
      <c r="I40" s="127"/>
    </row>
    <row r="41" spans="3:9" x14ac:dyDescent="0.2">
      <c r="C41" s="127"/>
      <c r="E41" s="127"/>
      <c r="G41" s="127"/>
      <c r="I41" s="127"/>
    </row>
    <row r="42" spans="3:9" x14ac:dyDescent="0.2">
      <c r="C42" s="128"/>
      <c r="E42" s="128"/>
      <c r="G42" s="128"/>
      <c r="I42" s="128"/>
    </row>
  </sheetData>
  <mergeCells count="4">
    <mergeCell ref="I23:I42"/>
    <mergeCell ref="G23:G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showRowColHeaders="0" zoomScale="80" zoomScaleNormal="8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G3" sqref="G3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1.7109375" style="1" customWidth="1"/>
    <col min="8" max="8" width="12.7109375" style="1" customWidth="1"/>
    <col min="9" max="9" width="20.710937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244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245</v>
      </c>
      <c r="K4" s="42" t="s">
        <v>76</v>
      </c>
      <c r="L4" s="42" t="s">
        <v>105</v>
      </c>
      <c r="M4" s="112" t="s">
        <v>263</v>
      </c>
      <c r="N4" s="112" t="s">
        <v>264</v>
      </c>
      <c r="O4" s="1"/>
      <c r="P4" s="1"/>
      <c r="Q4" s="1"/>
      <c r="W4"/>
      <c r="X4"/>
      <c r="Y4"/>
    </row>
    <row r="5" spans="1:25" ht="32.25" customHeight="1" x14ac:dyDescent="0.25">
      <c r="C5" s="92">
        <v>0</v>
      </c>
      <c r="D5" s="92" t="s">
        <v>95</v>
      </c>
      <c r="E5" s="93" t="s">
        <v>175</v>
      </c>
      <c r="F5" s="93" t="s">
        <v>139</v>
      </c>
      <c r="G5" s="92">
        <v>8</v>
      </c>
      <c r="H5" s="92">
        <f>IFERROR(VLOOKUP($G5,LGD!$M$5:$N$11,2,0),"")</f>
        <v>16</v>
      </c>
      <c r="I5" s="92" t="s">
        <v>239</v>
      </c>
      <c r="J5" s="92" t="s">
        <v>247</v>
      </c>
      <c r="K5" s="92" t="s">
        <v>250</v>
      </c>
      <c r="L5" s="92" t="s">
        <v>46</v>
      </c>
      <c r="M5" s="111">
        <v>44266</v>
      </c>
      <c r="N5" s="111">
        <v>44273</v>
      </c>
      <c r="O5" s="1"/>
      <c r="P5" s="1"/>
      <c r="Q5" s="1"/>
      <c r="W5"/>
      <c r="X5"/>
      <c r="Y5"/>
    </row>
    <row r="6" spans="1:25" ht="47.25" x14ac:dyDescent="0.25">
      <c r="C6" s="92" t="s">
        <v>190</v>
      </c>
      <c r="D6" s="92" t="s">
        <v>95</v>
      </c>
      <c r="E6" s="93" t="s">
        <v>176</v>
      </c>
      <c r="F6" s="93" t="s">
        <v>140</v>
      </c>
      <c r="G6" s="92">
        <v>5</v>
      </c>
      <c r="H6" s="92">
        <f>IFERROR(VLOOKUP($G6,LGD!$M$5:$N$11,2,0),"")</f>
        <v>8</v>
      </c>
      <c r="I6" s="92" t="s">
        <v>239</v>
      </c>
      <c r="J6" s="92" t="s">
        <v>247</v>
      </c>
      <c r="K6" s="92" t="s">
        <v>250</v>
      </c>
      <c r="L6" s="92" t="s">
        <v>46</v>
      </c>
      <c r="M6" s="111">
        <v>44266</v>
      </c>
      <c r="N6" s="111">
        <v>44273</v>
      </c>
      <c r="O6" s="1"/>
      <c r="P6" s="1"/>
      <c r="Q6" s="1"/>
      <c r="W6"/>
      <c r="X6"/>
      <c r="Y6"/>
    </row>
    <row r="7" spans="1:25" ht="31.5" x14ac:dyDescent="0.25">
      <c r="C7" s="167">
        <v>4</v>
      </c>
      <c r="D7" s="167" t="s">
        <v>95</v>
      </c>
      <c r="E7" s="168" t="s">
        <v>180</v>
      </c>
      <c r="F7" s="168" t="s">
        <v>144</v>
      </c>
      <c r="G7" s="167">
        <v>3</v>
      </c>
      <c r="H7" s="167">
        <f>IFERROR(VLOOKUP($G7,LGD!$M$5:$N$11,2,0),"")</f>
        <v>6</v>
      </c>
      <c r="I7" s="171" t="s">
        <v>272</v>
      </c>
      <c r="J7" s="167" t="s">
        <v>248</v>
      </c>
      <c r="K7" s="92" t="s">
        <v>250</v>
      </c>
      <c r="L7" s="167" t="s">
        <v>46</v>
      </c>
      <c r="M7" s="169">
        <v>44277</v>
      </c>
      <c r="N7" s="169">
        <v>44281</v>
      </c>
      <c r="O7" s="1"/>
      <c r="P7" s="1"/>
      <c r="Q7" s="1"/>
      <c r="W7"/>
      <c r="X7"/>
      <c r="Y7"/>
    </row>
    <row r="8" spans="1:25" ht="47.25" x14ac:dyDescent="0.25">
      <c r="C8" s="92" t="s">
        <v>193</v>
      </c>
      <c r="D8" s="92" t="s">
        <v>95</v>
      </c>
      <c r="E8" s="93" t="s">
        <v>181</v>
      </c>
      <c r="F8" s="93" t="s">
        <v>145</v>
      </c>
      <c r="G8" s="92">
        <v>3</v>
      </c>
      <c r="H8" s="92">
        <f>IFERROR(VLOOKUP($G8,LGD!$M$5:$N$11,2,0),"")</f>
        <v>6</v>
      </c>
      <c r="I8" s="171" t="s">
        <v>272</v>
      </c>
      <c r="J8" s="92" t="s">
        <v>249</v>
      </c>
      <c r="K8" s="92" t="s">
        <v>250</v>
      </c>
      <c r="L8" s="92" t="s">
        <v>46</v>
      </c>
      <c r="M8" s="169">
        <v>44277</v>
      </c>
      <c r="N8" s="169">
        <v>44281</v>
      </c>
      <c r="O8" s="1"/>
      <c r="P8" s="1"/>
      <c r="Q8" s="1"/>
      <c r="W8"/>
      <c r="X8"/>
      <c r="Y8"/>
    </row>
    <row r="9" spans="1:25" ht="31.5" x14ac:dyDescent="0.25">
      <c r="C9" s="92" t="s">
        <v>194</v>
      </c>
      <c r="D9" s="92" t="s">
        <v>95</v>
      </c>
      <c r="E9" s="93" t="s">
        <v>182</v>
      </c>
      <c r="F9" s="93" t="s">
        <v>146</v>
      </c>
      <c r="G9" s="92">
        <v>3</v>
      </c>
      <c r="H9" s="92">
        <f>IFERROR(VLOOKUP($G9,LGD!$M$5:$N$11,2,0),"")</f>
        <v>6</v>
      </c>
      <c r="I9" s="171" t="s">
        <v>272</v>
      </c>
      <c r="J9" s="92" t="s">
        <v>249</v>
      </c>
      <c r="K9" s="92" t="s">
        <v>250</v>
      </c>
      <c r="L9" s="92" t="s">
        <v>46</v>
      </c>
      <c r="M9" s="169">
        <v>44277</v>
      </c>
      <c r="N9" s="169">
        <v>44281</v>
      </c>
      <c r="O9" s="1"/>
      <c r="P9" s="1"/>
      <c r="Q9" s="1"/>
      <c r="W9"/>
      <c r="X9"/>
      <c r="Y9"/>
    </row>
    <row r="10" spans="1:25" ht="63" x14ac:dyDescent="0.25">
      <c r="C10" s="92" t="s">
        <v>195</v>
      </c>
      <c r="D10" s="92" t="s">
        <v>95</v>
      </c>
      <c r="E10" s="93" t="s">
        <v>183</v>
      </c>
      <c r="F10" s="93" t="s">
        <v>147</v>
      </c>
      <c r="G10" s="92">
        <v>3</v>
      </c>
      <c r="H10" s="92">
        <f>IFERROR(VLOOKUP($G10,LGD!$M$5:$N$11,2,0),"")</f>
        <v>6</v>
      </c>
      <c r="I10" s="171" t="s">
        <v>272</v>
      </c>
      <c r="J10" s="92" t="s">
        <v>248</v>
      </c>
      <c r="K10" s="92" t="s">
        <v>250</v>
      </c>
      <c r="L10" s="92" t="s">
        <v>46</v>
      </c>
      <c r="M10" s="169">
        <v>44277</v>
      </c>
      <c r="N10" s="169">
        <v>44281</v>
      </c>
      <c r="O10" s="1"/>
      <c r="P10" s="1"/>
      <c r="Q10" s="1"/>
      <c r="W10"/>
      <c r="X10"/>
      <c r="Y10"/>
    </row>
    <row r="11" spans="1:25" ht="47.25" x14ac:dyDescent="0.25">
      <c r="C11" s="92" t="s">
        <v>196</v>
      </c>
      <c r="D11" s="92" t="s">
        <v>95</v>
      </c>
      <c r="E11" s="93" t="s">
        <v>184</v>
      </c>
      <c r="F11" s="93" t="s">
        <v>148</v>
      </c>
      <c r="G11" s="92">
        <v>3</v>
      </c>
      <c r="H11" s="92">
        <f>IFERROR(VLOOKUP($G11,LGD!$M$5:$N$11,2,0),"")</f>
        <v>6</v>
      </c>
      <c r="I11" s="171" t="s">
        <v>272</v>
      </c>
      <c r="J11" s="92" t="s">
        <v>249</v>
      </c>
      <c r="K11" s="92" t="s">
        <v>250</v>
      </c>
      <c r="L11" s="92" t="s">
        <v>46</v>
      </c>
      <c r="M11" s="169">
        <v>44277</v>
      </c>
      <c r="N11" s="169">
        <v>44281</v>
      </c>
      <c r="O11" s="1"/>
      <c r="P11" s="1"/>
      <c r="Q11" s="1"/>
      <c r="W11"/>
      <c r="X11"/>
      <c r="Y11"/>
    </row>
    <row r="12" spans="1:25" ht="47.25" x14ac:dyDescent="0.25">
      <c r="C12" s="92">
        <v>3</v>
      </c>
      <c r="D12" s="92" t="s">
        <v>95</v>
      </c>
      <c r="E12" s="93" t="s">
        <v>177</v>
      </c>
      <c r="F12" s="93" t="s">
        <v>141</v>
      </c>
      <c r="G12" s="92">
        <v>8</v>
      </c>
      <c r="H12" s="92">
        <f>IFERROR(VLOOKUP($G12,LGD!$M$5:$N$11,2,0),"")</f>
        <v>16</v>
      </c>
      <c r="I12" s="92" t="s">
        <v>239</v>
      </c>
      <c r="J12" s="92" t="s">
        <v>249</v>
      </c>
      <c r="K12" s="92" t="s">
        <v>251</v>
      </c>
      <c r="L12" s="92" t="s">
        <v>46</v>
      </c>
      <c r="M12" s="111">
        <v>44270</v>
      </c>
      <c r="N12" s="111">
        <v>44280</v>
      </c>
      <c r="O12" s="1"/>
      <c r="P12" s="1"/>
      <c r="Q12" s="1"/>
      <c r="W12"/>
      <c r="X12"/>
      <c r="Y12"/>
    </row>
    <row r="13" spans="1:25" ht="47.25" x14ac:dyDescent="0.25">
      <c r="C13" s="92" t="s">
        <v>191</v>
      </c>
      <c r="D13" s="92" t="s">
        <v>95</v>
      </c>
      <c r="E13" s="93" t="s">
        <v>178</v>
      </c>
      <c r="F13" s="93" t="s">
        <v>142</v>
      </c>
      <c r="G13" s="92">
        <v>2</v>
      </c>
      <c r="H13" s="92">
        <f>IFERROR(VLOOKUP($G13,LGD!$M$5:$N$11,2,0),"")</f>
        <v>4</v>
      </c>
      <c r="I13" s="92" t="s">
        <v>239</v>
      </c>
      <c r="J13" s="92" t="s">
        <v>249</v>
      </c>
      <c r="K13" s="92" t="s">
        <v>251</v>
      </c>
      <c r="L13" s="92" t="s">
        <v>46</v>
      </c>
      <c r="M13" s="111">
        <v>44270</v>
      </c>
      <c r="N13" s="111">
        <v>44273</v>
      </c>
      <c r="O13" s="1"/>
      <c r="P13" s="1"/>
      <c r="Q13" s="1"/>
      <c r="W13"/>
      <c r="X13"/>
      <c r="Y13"/>
    </row>
    <row r="14" spans="1:25" ht="47.25" x14ac:dyDescent="0.25">
      <c r="C14" s="92" t="s">
        <v>192</v>
      </c>
      <c r="D14" s="92" t="s">
        <v>95</v>
      </c>
      <c r="E14" s="93" t="s">
        <v>179</v>
      </c>
      <c r="F14" s="93" t="s">
        <v>143</v>
      </c>
      <c r="G14" s="92">
        <v>5</v>
      </c>
      <c r="H14" s="92">
        <f>IFERROR(VLOOKUP($G14,LGD!$M$5:$N$11,2,0),"")</f>
        <v>8</v>
      </c>
      <c r="I14" s="92" t="s">
        <v>48</v>
      </c>
      <c r="J14" s="92" t="s">
        <v>249</v>
      </c>
      <c r="K14" s="92" t="s">
        <v>251</v>
      </c>
      <c r="L14" s="92" t="s">
        <v>46</v>
      </c>
      <c r="M14" s="111">
        <v>44279</v>
      </c>
      <c r="N14" s="111">
        <v>44280</v>
      </c>
      <c r="O14" s="1"/>
      <c r="P14" s="1"/>
      <c r="Q14" s="1"/>
      <c r="W14"/>
      <c r="X14"/>
      <c r="Y14"/>
    </row>
    <row r="15" spans="1:25" ht="47.25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3</v>
      </c>
      <c r="H15" s="92">
        <f>IFERROR(VLOOKUP($G15,LGD!$M$5:$N$11,2,0),"")</f>
        <v>6</v>
      </c>
      <c r="I15" s="92" t="s">
        <v>49</v>
      </c>
      <c r="J15" s="92" t="s">
        <v>248</v>
      </c>
      <c r="K15" s="92" t="s">
        <v>250</v>
      </c>
      <c r="L15" s="92" t="s">
        <v>46</v>
      </c>
      <c r="M15" s="111">
        <v>44280</v>
      </c>
      <c r="N15" s="111">
        <v>44280</v>
      </c>
      <c r="O15" s="1"/>
      <c r="P15" s="1"/>
      <c r="Q15" s="1"/>
      <c r="W15"/>
      <c r="X15"/>
      <c r="Y15"/>
    </row>
    <row r="16" spans="1:25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3</v>
      </c>
      <c r="H16" s="92">
        <f>IFERROR(VLOOKUP($G16,LGD!$M$5:$N$11,2,0),"")</f>
        <v>6</v>
      </c>
      <c r="I16" s="92" t="s">
        <v>49</v>
      </c>
      <c r="J16" s="92" t="s">
        <v>248</v>
      </c>
      <c r="K16" s="92" t="s">
        <v>250</v>
      </c>
      <c r="L16" s="92" t="s">
        <v>46</v>
      </c>
      <c r="M16" s="111">
        <v>44280</v>
      </c>
      <c r="N16" s="111">
        <v>44280</v>
      </c>
      <c r="O16" s="1"/>
      <c r="P16" s="1"/>
      <c r="Q16" s="1"/>
      <c r="W16"/>
      <c r="X16"/>
      <c r="Y16"/>
    </row>
    <row r="17" spans="3:25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3</v>
      </c>
      <c r="H17" s="92">
        <f>IFERROR(VLOOKUP($G17,LGD!$M$5:$N$11,2,0),"")</f>
        <v>6</v>
      </c>
      <c r="I17" s="92" t="s">
        <v>49</v>
      </c>
      <c r="J17" s="92" t="s">
        <v>248</v>
      </c>
      <c r="K17" s="92" t="s">
        <v>250</v>
      </c>
      <c r="L17" s="92" t="s">
        <v>46</v>
      </c>
      <c r="M17" s="111">
        <v>44280</v>
      </c>
      <c r="N17" s="111">
        <v>44280</v>
      </c>
      <c r="O17" s="1"/>
      <c r="P17" s="1"/>
      <c r="Q17" s="1"/>
      <c r="W17"/>
      <c r="X17"/>
      <c r="Y17"/>
    </row>
    <row r="18" spans="3:25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>
        <v>3</v>
      </c>
      <c r="H18" s="92">
        <f>IFERROR(VLOOKUP($G18,LGD!$M$5:$N$11,2,0),"")</f>
        <v>6</v>
      </c>
      <c r="I18" s="92" t="s">
        <v>49</v>
      </c>
      <c r="J18" s="92" t="s">
        <v>248</v>
      </c>
      <c r="K18" s="92" t="s">
        <v>250</v>
      </c>
      <c r="L18" s="92" t="s">
        <v>46</v>
      </c>
      <c r="M18" s="111">
        <v>44280</v>
      </c>
      <c r="N18" s="111">
        <v>44280</v>
      </c>
      <c r="O18" s="1"/>
      <c r="P18" s="1"/>
      <c r="Q18" s="1"/>
      <c r="W18"/>
      <c r="X18"/>
      <c r="Y18"/>
    </row>
    <row r="19" spans="3:25" ht="94.5" x14ac:dyDescent="0.25">
      <c r="C19" s="92">
        <v>1</v>
      </c>
      <c r="D19" s="92" t="s">
        <v>96</v>
      </c>
      <c r="E19" s="93" t="s">
        <v>201</v>
      </c>
      <c r="F19" s="93" t="s">
        <v>154</v>
      </c>
      <c r="G19" s="92"/>
      <c r="H19" s="92" t="str">
        <f>IFERROR(VLOOKUP($G19,LGD!$M$5:$N$11,2,0),"")</f>
        <v/>
      </c>
      <c r="I19" s="92"/>
      <c r="J19" s="92"/>
      <c r="K19" s="92"/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 t="s">
        <v>222</v>
      </c>
      <c r="D20" s="92" t="s">
        <v>96</v>
      </c>
      <c r="E20" s="93" t="s">
        <v>202</v>
      </c>
      <c r="F20" s="93" t="s">
        <v>155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223</v>
      </c>
      <c r="D21" s="92" t="s">
        <v>96</v>
      </c>
      <c r="E21" s="93" t="s">
        <v>203</v>
      </c>
      <c r="F21" s="93" t="s">
        <v>156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63" x14ac:dyDescent="0.25">
      <c r="C22" s="92" t="s">
        <v>224</v>
      </c>
      <c r="D22" s="92" t="s">
        <v>96</v>
      </c>
      <c r="E22" s="93" t="s">
        <v>204</v>
      </c>
      <c r="F22" s="93" t="s">
        <v>157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 t="s">
        <v>225</v>
      </c>
      <c r="D23" s="92" t="s">
        <v>96</v>
      </c>
      <c r="E23" s="93" t="s">
        <v>205</v>
      </c>
      <c r="F23" s="93" t="s">
        <v>158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>
        <v>7</v>
      </c>
      <c r="D24" s="92" t="s">
        <v>96</v>
      </c>
      <c r="E24" s="93" t="s">
        <v>206</v>
      </c>
      <c r="F24" s="93" t="s">
        <v>159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226</v>
      </c>
      <c r="D25" s="92" t="s">
        <v>96</v>
      </c>
      <c r="E25" s="93" t="s">
        <v>207</v>
      </c>
      <c r="F25" s="93" t="s">
        <v>160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227</v>
      </c>
      <c r="D26" s="92" t="s">
        <v>96</v>
      </c>
      <c r="E26" s="93" t="s">
        <v>208</v>
      </c>
      <c r="F26" s="93" t="s">
        <v>161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78.75" x14ac:dyDescent="0.25">
      <c r="C27" s="92" t="s">
        <v>228</v>
      </c>
      <c r="D27" s="92" t="s">
        <v>96</v>
      </c>
      <c r="E27" s="93" t="s">
        <v>209</v>
      </c>
      <c r="F27" s="93" t="s">
        <v>162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2</v>
      </c>
      <c r="D28" s="92" t="s">
        <v>97</v>
      </c>
      <c r="E28" s="93" t="s">
        <v>210</v>
      </c>
      <c r="F28" s="93" t="s">
        <v>163</v>
      </c>
      <c r="G28" s="92"/>
      <c r="H28" s="92" t="str">
        <f>IFERROR(VLOOKUP($G28,LGD!$M$5:$N$11,2,0),"")</f>
        <v/>
      </c>
      <c r="I28" s="92"/>
      <c r="J28" s="92"/>
      <c r="K28" s="92"/>
      <c r="L28" s="92" t="s">
        <v>50</v>
      </c>
      <c r="M28" s="111"/>
      <c r="N28" s="111"/>
      <c r="O28" s="1"/>
      <c r="P28" s="1"/>
      <c r="Q28" s="1"/>
      <c r="W28"/>
      <c r="X28"/>
      <c r="Y28"/>
    </row>
    <row r="29" spans="3:25" ht="31.5" x14ac:dyDescent="0.25">
      <c r="C29" s="92" t="s">
        <v>229</v>
      </c>
      <c r="D29" s="92" t="s">
        <v>97</v>
      </c>
      <c r="E29" s="93" t="s">
        <v>211</v>
      </c>
      <c r="F29" s="93" t="s">
        <v>164</v>
      </c>
      <c r="G29" s="92"/>
      <c r="H29" s="92" t="str">
        <f>IFERROR(VLOOKUP($G29,LGD!$M$5:$N$11,2,0),"")</f>
        <v/>
      </c>
      <c r="I29" s="92"/>
      <c r="J29" s="92"/>
      <c r="K29" s="92"/>
      <c r="L29" s="92" t="s">
        <v>50</v>
      </c>
      <c r="M29" s="111"/>
      <c r="N29" s="111"/>
      <c r="O29" s="1"/>
      <c r="P29" s="1"/>
      <c r="Q29" s="1"/>
      <c r="W29"/>
      <c r="X29"/>
      <c r="Y29"/>
    </row>
    <row r="30" spans="3:25" ht="31.5" x14ac:dyDescent="0.25">
      <c r="C30" s="92" t="s">
        <v>230</v>
      </c>
      <c r="D30" s="92" t="s">
        <v>97</v>
      </c>
      <c r="E30" s="93" t="s">
        <v>212</v>
      </c>
      <c r="F30" s="93" t="s">
        <v>165</v>
      </c>
      <c r="G30" s="92"/>
      <c r="H30" s="92" t="str">
        <f>IFERROR(VLOOKUP($G30,LGD!$M$5:$N$11,2,0),"")</f>
        <v/>
      </c>
      <c r="I30" s="92"/>
      <c r="J30" s="92"/>
      <c r="K30" s="92"/>
      <c r="L30" s="92" t="s">
        <v>50</v>
      </c>
      <c r="M30" s="111"/>
      <c r="N30" s="111"/>
      <c r="O30" s="1"/>
      <c r="P30" s="1"/>
      <c r="Q30" s="1"/>
      <c r="W30"/>
      <c r="X30"/>
      <c r="Y30"/>
    </row>
    <row r="31" spans="3:25" ht="47.25" x14ac:dyDescent="0.25">
      <c r="C31" s="92">
        <v>5</v>
      </c>
      <c r="D31" s="92" t="s">
        <v>98</v>
      </c>
      <c r="E31" s="93" t="s">
        <v>213</v>
      </c>
      <c r="F31" s="93" t="s">
        <v>166</v>
      </c>
      <c r="G31" s="92"/>
      <c r="H31" s="92" t="str">
        <f>IFERROR(VLOOKUP($G31,LGD!$M$5:$N$11,2,0),"")</f>
        <v/>
      </c>
      <c r="I31" s="92"/>
      <c r="J31" s="92"/>
      <c r="K31" s="92"/>
      <c r="L31" s="92" t="s">
        <v>50</v>
      </c>
      <c r="M31" s="111"/>
      <c r="N31" s="111"/>
      <c r="O31" s="1"/>
      <c r="P31" s="1"/>
      <c r="Q31" s="1"/>
      <c r="W31"/>
      <c r="X31"/>
      <c r="Y31"/>
    </row>
    <row r="32" spans="3:25" ht="47.25" x14ac:dyDescent="0.25">
      <c r="C32" s="92" t="s">
        <v>231</v>
      </c>
      <c r="D32" s="92" t="s">
        <v>98</v>
      </c>
      <c r="E32" s="93" t="s">
        <v>214</v>
      </c>
      <c r="F32" s="93" t="s">
        <v>167</v>
      </c>
      <c r="G32" s="92"/>
      <c r="H32" s="92" t="str">
        <f>IFERROR(VLOOKUP($G32,LGD!$M$5:$N$11,2,0),"")</f>
        <v/>
      </c>
      <c r="I32" s="92"/>
      <c r="J32" s="92"/>
      <c r="K32" s="92"/>
      <c r="L32" s="92" t="s">
        <v>50</v>
      </c>
      <c r="M32" s="111"/>
      <c r="N32" s="111"/>
      <c r="O32" s="1"/>
      <c r="P32" s="1"/>
      <c r="Q32" s="1"/>
      <c r="W32"/>
      <c r="X32"/>
      <c r="Y32"/>
    </row>
    <row r="33" spans="3:25" ht="47.25" x14ac:dyDescent="0.25">
      <c r="C33" s="92" t="s">
        <v>232</v>
      </c>
      <c r="D33" s="92" t="s">
        <v>98</v>
      </c>
      <c r="E33" s="93" t="s">
        <v>215</v>
      </c>
      <c r="F33" s="93" t="s">
        <v>168</v>
      </c>
      <c r="G33" s="92"/>
      <c r="H33" s="92" t="str">
        <f>IFERROR(VLOOKUP($G33,LGD!$M$5:$N$11,2,0),"")</f>
        <v/>
      </c>
      <c r="I33" s="92"/>
      <c r="J33" s="92"/>
      <c r="K33" s="92"/>
      <c r="L33" s="92" t="s">
        <v>50</v>
      </c>
      <c r="M33" s="111"/>
      <c r="N33" s="111"/>
      <c r="O33" s="1"/>
      <c r="P33" s="1"/>
      <c r="Q33" s="1"/>
      <c r="W33"/>
      <c r="X33"/>
      <c r="Y33"/>
    </row>
    <row r="34" spans="3:25" ht="47.25" x14ac:dyDescent="0.25">
      <c r="C34" s="92" t="s">
        <v>233</v>
      </c>
      <c r="D34" s="92" t="s">
        <v>98</v>
      </c>
      <c r="E34" s="93" t="s">
        <v>216</v>
      </c>
      <c r="F34" s="93" t="s">
        <v>169</v>
      </c>
      <c r="G34" s="92"/>
      <c r="H34" s="92" t="str">
        <f>IFERROR(VLOOKUP($G34,LGD!$M$5:$N$11,2,0),"")</f>
        <v/>
      </c>
      <c r="I34" s="92"/>
      <c r="J34" s="92"/>
      <c r="K34" s="92"/>
      <c r="L34" s="92" t="s">
        <v>50</v>
      </c>
      <c r="M34" s="111"/>
      <c r="N34" s="111"/>
      <c r="O34" s="1"/>
      <c r="P34" s="1"/>
      <c r="Q34" s="1"/>
      <c r="W34"/>
      <c r="X34"/>
      <c r="Y34"/>
    </row>
    <row r="35" spans="3:25" ht="47.25" x14ac:dyDescent="0.25">
      <c r="C35" s="92" t="s">
        <v>234</v>
      </c>
      <c r="D35" s="92" t="s">
        <v>98</v>
      </c>
      <c r="E35" s="93" t="s">
        <v>217</v>
      </c>
      <c r="F35" s="93" t="s">
        <v>170</v>
      </c>
      <c r="G35" s="92"/>
      <c r="H35" s="92" t="str">
        <f>IFERROR(VLOOKUP($G35,LGD!$M$5:$N$11,2,0),"")</f>
        <v/>
      </c>
      <c r="I35" s="92"/>
      <c r="J35" s="92"/>
      <c r="K35" s="92"/>
      <c r="L35" s="92" t="s">
        <v>50</v>
      </c>
      <c r="M35" s="111"/>
      <c r="N35" s="111"/>
      <c r="O35" s="1"/>
      <c r="P35" s="1"/>
      <c r="Q35" s="1"/>
      <c r="W35"/>
      <c r="X35"/>
      <c r="Y35"/>
    </row>
    <row r="36" spans="3:25" ht="63" x14ac:dyDescent="0.25">
      <c r="C36" s="92" t="s">
        <v>235</v>
      </c>
      <c r="D36" s="92" t="s">
        <v>98</v>
      </c>
      <c r="E36" s="93" t="s">
        <v>218</v>
      </c>
      <c r="F36" s="93" t="s">
        <v>171</v>
      </c>
      <c r="G36" s="92"/>
      <c r="H36" s="92" t="str">
        <f>IFERROR(VLOOKUP($G36,LGD!$M$5:$N$11,2,0),"")</f>
        <v/>
      </c>
      <c r="I36" s="92"/>
      <c r="J36" s="92"/>
      <c r="K36" s="92"/>
      <c r="L36" s="92" t="s">
        <v>50</v>
      </c>
      <c r="M36" s="111"/>
      <c r="N36" s="111"/>
      <c r="O36" s="1"/>
      <c r="P36" s="1"/>
      <c r="Q36" s="1"/>
      <c r="W36"/>
      <c r="X36"/>
      <c r="Y36"/>
    </row>
    <row r="37" spans="3:25" ht="63" x14ac:dyDescent="0.25">
      <c r="C37" s="92" t="s">
        <v>236</v>
      </c>
      <c r="D37" s="92" t="s">
        <v>98</v>
      </c>
      <c r="E37" s="93" t="s">
        <v>219</v>
      </c>
      <c r="F37" s="93" t="s">
        <v>172</v>
      </c>
      <c r="G37" s="92"/>
      <c r="H37" s="92" t="str">
        <f>IFERROR(VLOOKUP($G37,LGD!$M$5:$N$11,2,0),"")</f>
        <v/>
      </c>
      <c r="I37" s="92"/>
      <c r="J37" s="92"/>
      <c r="K37" s="92"/>
      <c r="L37" s="92" t="s">
        <v>50</v>
      </c>
      <c r="M37" s="111"/>
      <c r="N37" s="111"/>
      <c r="O37" s="1"/>
      <c r="P37" s="1"/>
      <c r="Q37" s="1"/>
      <c r="W37"/>
      <c r="X37"/>
      <c r="Y37"/>
    </row>
    <row r="38" spans="3:25" ht="63" x14ac:dyDescent="0.25">
      <c r="C38" s="92" t="s">
        <v>237</v>
      </c>
      <c r="D38" s="92" t="s">
        <v>98</v>
      </c>
      <c r="E38" s="93" t="s">
        <v>220</v>
      </c>
      <c r="F38" s="93" t="s">
        <v>173</v>
      </c>
      <c r="G38" s="92"/>
      <c r="H38" s="92" t="str">
        <f>IFERROR(VLOOKUP($G38,LGD!$M$5:$N$11,2,0),"")</f>
        <v/>
      </c>
      <c r="I38" s="92"/>
      <c r="J38" s="92"/>
      <c r="K38" s="92"/>
      <c r="L38" s="92" t="s">
        <v>50</v>
      </c>
      <c r="M38" s="111"/>
      <c r="N38" s="111"/>
      <c r="O38" s="1"/>
      <c r="P38" s="1"/>
      <c r="Q38" s="1"/>
      <c r="W38"/>
      <c r="X38"/>
      <c r="Y38"/>
    </row>
    <row r="39" spans="3:25" ht="47.25" x14ac:dyDescent="0.25">
      <c r="C39" s="92" t="s">
        <v>238</v>
      </c>
      <c r="D39" s="92" t="s">
        <v>98</v>
      </c>
      <c r="E39" s="93" t="s">
        <v>221</v>
      </c>
      <c r="F39" s="93" t="s">
        <v>174</v>
      </c>
      <c r="G39" s="92"/>
      <c r="H39" s="92" t="str">
        <f>IFERROR(VLOOKUP($G39,LGD!$M$5:$N$11,2,0),"")</f>
        <v/>
      </c>
      <c r="I39" s="92"/>
      <c r="J39" s="92"/>
      <c r="K39" s="92"/>
      <c r="L39" s="92" t="s">
        <v>50</v>
      </c>
      <c r="M39" s="111"/>
      <c r="N39" s="111"/>
      <c r="O39" s="1"/>
      <c r="P39" s="1"/>
      <c r="Q39" s="1"/>
      <c r="W39"/>
      <c r="X39"/>
      <c r="Y39"/>
    </row>
    <row r="40" spans="3:25" x14ac:dyDescent="0.25">
      <c r="C40" s="92"/>
      <c r="D40" s="92"/>
      <c r="E40" s="93"/>
      <c r="F40" s="93"/>
      <c r="G40" s="92"/>
      <c r="H40" s="92"/>
      <c r="I40" s="92"/>
      <c r="J40" s="92"/>
      <c r="K40" s="92"/>
      <c r="L40" s="92"/>
      <c r="M40" s="111"/>
      <c r="N40" s="111"/>
      <c r="O40" s="1"/>
      <c r="P40" s="1"/>
      <c r="Q40" s="1"/>
      <c r="W40"/>
      <c r="X40"/>
      <c r="Y40"/>
    </row>
    <row r="41" spans="3:25" x14ac:dyDescent="0.25">
      <c r="C41" s="92"/>
      <c r="D41" s="92"/>
      <c r="E41" s="93"/>
      <c r="F41" s="93"/>
      <c r="G41" s="92"/>
      <c r="H41" s="92"/>
      <c r="I41" s="92"/>
      <c r="J41" s="92"/>
      <c r="K41" s="92"/>
      <c r="L41" s="92"/>
      <c r="M41" s="111"/>
      <c r="N41" s="111"/>
      <c r="O41" s="1"/>
      <c r="P41" s="1"/>
      <c r="Q41" s="1"/>
      <c r="W41"/>
      <c r="X41"/>
      <c r="Y41"/>
    </row>
    <row r="42" spans="3:25" x14ac:dyDescent="0.25">
      <c r="C42" s="92"/>
      <c r="D42" s="92"/>
      <c r="E42" s="93"/>
      <c r="F42" s="93"/>
      <c r="G42" s="92"/>
      <c r="H42" s="92" t="str">
        <f>IFERROR(VLOOKUP($G42,LGD!$M$5:$N$11,2,0),"")</f>
        <v/>
      </c>
      <c r="I42" s="92"/>
      <c r="J42" s="92"/>
      <c r="K42" s="92"/>
      <c r="L42" s="92"/>
      <c r="M42" s="111"/>
      <c r="N42" s="111"/>
      <c r="O42" s="1"/>
      <c r="P42" s="1"/>
      <c r="Q42" s="1"/>
      <c r="W42"/>
      <c r="X42"/>
      <c r="Y42"/>
    </row>
    <row r="43" spans="3:25" x14ac:dyDescent="0.25">
      <c r="C43" s="92"/>
      <c r="D43" s="92"/>
      <c r="E43" s="93"/>
      <c r="F43" s="93"/>
      <c r="G43" s="92"/>
      <c r="H43" s="92" t="str">
        <f>IFERROR(VLOOKUP($G43,LGD!$M$5:$N$11,2,0),"")</f>
        <v/>
      </c>
      <c r="I43" s="92"/>
      <c r="J43" s="92"/>
      <c r="K43" s="92"/>
      <c r="L43" s="92"/>
      <c r="M43" s="111"/>
      <c r="N43" s="111"/>
      <c r="O43" s="1"/>
      <c r="P43" s="1"/>
      <c r="Q43" s="1"/>
      <c r="W43"/>
      <c r="X43"/>
      <c r="Y43"/>
    </row>
    <row r="44" spans="3:25" x14ac:dyDescent="0.25">
      <c r="C44" s="92"/>
      <c r="D44" s="92"/>
      <c r="E44" s="93"/>
      <c r="F44" s="93"/>
      <c r="G44" s="92"/>
      <c r="H44" s="92" t="str">
        <f>IFERROR(VLOOKUP($G44,LGD!$M$5:$N$11,2,0),"")</f>
        <v/>
      </c>
      <c r="I44" s="92"/>
      <c r="J44" s="92"/>
      <c r="K44" s="92"/>
      <c r="L44" s="92"/>
      <c r="M44" s="111"/>
      <c r="N44" s="111"/>
      <c r="O44" s="1"/>
      <c r="P44" s="1"/>
      <c r="Q44" s="1"/>
      <c r="W44"/>
      <c r="X44"/>
      <c r="Y44"/>
    </row>
    <row r="45" spans="3:25" x14ac:dyDescent="0.25">
      <c r="C45" s="92"/>
      <c r="D45" s="92"/>
      <c r="E45" s="93"/>
      <c r="F45" s="93"/>
      <c r="G45" s="92"/>
      <c r="H45" s="92" t="str">
        <f>IFERROR(VLOOKUP($G45,LGD!$M$5:$N$11,2,0),"")</f>
        <v/>
      </c>
      <c r="I45" s="92"/>
      <c r="J45" s="92"/>
      <c r="K45" s="92"/>
      <c r="L45" s="92"/>
      <c r="M45" s="111"/>
      <c r="N45" s="111"/>
      <c r="O45" s="1"/>
      <c r="P45" s="1"/>
      <c r="Q45" s="1"/>
      <c r="W45"/>
      <c r="X45"/>
      <c r="Y45"/>
    </row>
    <row r="46" spans="3:25" x14ac:dyDescent="0.25">
      <c r="C46" s="92"/>
      <c r="D46" s="92"/>
      <c r="E46" s="93"/>
      <c r="F46" s="93"/>
      <c r="G46" s="92"/>
      <c r="H46" s="92" t="str">
        <f>IFERROR(VLOOKUP($G46,LGD!$M$5:$N$11,2,0),"")</f>
        <v/>
      </c>
      <c r="I46" s="92"/>
      <c r="J46" s="92"/>
      <c r="K46" s="92"/>
      <c r="L46" s="92"/>
      <c r="M46" s="111"/>
      <c r="N46" s="111"/>
      <c r="O46" s="1"/>
      <c r="P46" s="1"/>
      <c r="Q46" s="1"/>
      <c r="W46"/>
      <c r="X46"/>
      <c r="Y46"/>
    </row>
    <row r="47" spans="3:25" x14ac:dyDescent="0.25">
      <c r="C47" s="92"/>
      <c r="D47" s="92"/>
      <c r="E47" s="93"/>
      <c r="F47" s="93"/>
      <c r="G47" s="92"/>
      <c r="H47" s="92" t="str">
        <f>IFERROR(VLOOKUP($G47,LGD!$M$5:$N$11,2,0),"")</f>
        <v/>
      </c>
      <c r="I47" s="92"/>
      <c r="J47" s="92"/>
      <c r="K47" s="92"/>
      <c r="L47" s="92"/>
      <c r="M47" s="111"/>
      <c r="N47" s="111"/>
      <c r="O47" s="1"/>
      <c r="P47" s="1"/>
      <c r="Q47" s="1"/>
      <c r="W47"/>
      <c r="X47"/>
      <c r="Y47"/>
    </row>
    <row r="48" spans="3:25" x14ac:dyDescent="0.25">
      <c r="C48" s="92"/>
      <c r="D48" s="92"/>
      <c r="E48" s="93"/>
      <c r="F48" s="93"/>
      <c r="G48" s="92"/>
      <c r="H48" s="92" t="str">
        <f>IFERROR(VLOOKUP($G48,LGD!$M$5:$N$11,2,0),"")</f>
        <v/>
      </c>
      <c r="I48" s="92"/>
      <c r="J48" s="92"/>
      <c r="K48" s="92"/>
      <c r="L48" s="92"/>
      <c r="M48" s="111"/>
      <c r="N48" s="111"/>
      <c r="O48" s="1"/>
      <c r="P48" s="1"/>
      <c r="Q48" s="1"/>
      <c r="W48"/>
      <c r="X48"/>
      <c r="Y48"/>
    </row>
    <row r="49" spans="3:25" x14ac:dyDescent="0.25">
      <c r="C49" s="92"/>
      <c r="D49" s="92"/>
      <c r="E49" s="93"/>
      <c r="F49" s="93"/>
      <c r="G49" s="92"/>
      <c r="H49" s="92" t="str">
        <f>IFERROR(VLOOKUP($G49,LGD!$M$5:$N$11,2,0),"")</f>
        <v/>
      </c>
      <c r="I49" s="92"/>
      <c r="J49" s="92"/>
      <c r="K49" s="92"/>
      <c r="L49" s="92"/>
      <c r="M49" s="111"/>
      <c r="N49" s="111"/>
      <c r="O49" s="1"/>
      <c r="P49" s="1"/>
      <c r="Q49" s="1"/>
      <c r="W49"/>
      <c r="X49"/>
      <c r="Y49"/>
    </row>
    <row r="50" spans="3:25" x14ac:dyDescent="0.25">
      <c r="C50" s="92"/>
      <c r="D50" s="92"/>
      <c r="E50" s="93"/>
      <c r="F50" s="93"/>
      <c r="G50" s="92"/>
      <c r="H50" s="92" t="str">
        <f>IFERROR(VLOOKUP($G50,LGD!$M$5:$N$11,2,0),"")</f>
        <v/>
      </c>
      <c r="I50" s="92"/>
      <c r="J50" s="92"/>
      <c r="K50" s="92"/>
      <c r="L50" s="92"/>
      <c r="M50" s="111"/>
      <c r="N50" s="111"/>
      <c r="O50" s="1"/>
      <c r="P50" s="1"/>
      <c r="Q50" s="1"/>
      <c r="W50"/>
      <c r="X50"/>
      <c r="Y50"/>
    </row>
    <row r="51" spans="3:25" x14ac:dyDescent="0.25">
      <c r="C51" s="92"/>
      <c r="D51" s="92"/>
      <c r="E51" s="93"/>
      <c r="F51" s="93"/>
      <c r="G51" s="92"/>
      <c r="H51" s="92" t="str">
        <f>IFERROR(VLOOKUP($G51,LGD!$M$5:$N$11,2,0),"")</f>
        <v/>
      </c>
      <c r="I51" s="92"/>
      <c r="J51" s="92"/>
      <c r="K51" s="92"/>
      <c r="L51" s="92"/>
      <c r="M51" s="111"/>
      <c r="N51" s="111"/>
      <c r="O51" s="1"/>
      <c r="P51" s="1"/>
      <c r="Q51" s="1"/>
      <c r="W51"/>
      <c r="X51"/>
      <c r="Y51"/>
    </row>
    <row r="52" spans="3:25" x14ac:dyDescent="0.25">
      <c r="C52" s="92"/>
      <c r="D52" s="92"/>
      <c r="E52" s="93"/>
      <c r="F52" s="93"/>
      <c r="G52" s="92"/>
      <c r="H52" s="92" t="str">
        <f>IFERROR(VLOOKUP($G52,LGD!$M$5:$N$11,2,0),"")</f>
        <v/>
      </c>
      <c r="I52" s="92"/>
      <c r="J52" s="92"/>
      <c r="K52" s="92"/>
      <c r="L52" s="92"/>
      <c r="M52" s="111"/>
      <c r="N52" s="111"/>
      <c r="O52" s="1"/>
      <c r="P52" s="1"/>
      <c r="Q52" s="1"/>
      <c r="W52"/>
      <c r="X52"/>
      <c r="Y52"/>
    </row>
    <row r="53" spans="3:25" x14ac:dyDescent="0.25">
      <c r="C53" s="92"/>
      <c r="D53" s="92"/>
      <c r="E53" s="93"/>
      <c r="F53" s="93"/>
      <c r="G53" s="92"/>
      <c r="H53" s="92" t="str">
        <f>IFERROR(VLOOKUP($G53,LGD!$M$5:$N$11,2,0),"")</f>
        <v/>
      </c>
      <c r="I53" s="92"/>
      <c r="J53" s="92"/>
      <c r="K53" s="92"/>
      <c r="L53" s="92"/>
      <c r="M53" s="111"/>
      <c r="N53" s="111"/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 t="str">
        <f>IFERROR(VLOOKUP($G54,LGD!$M$5:$N$11,2,0),"")</f>
        <v/>
      </c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 t="str">
        <f>IFERROR(VLOOKUP($G55,LGD!$M$5:$N$11,2,0),"")</f>
        <v/>
      </c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 t="str">
        <f>IFERROR(VLOOKUP($G56,LGD!$M$5:$N$11,2,0),"")</f>
        <v/>
      </c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 t="str">
        <f>IFERROR(VLOOKUP($G57,LGD!$M$5:$N$11,2,0),"")</f>
        <v/>
      </c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O76" s="1"/>
      <c r="P76" s="1"/>
      <c r="Q76" s="1"/>
      <c r="W76"/>
      <c r="X76"/>
      <c r="Y76"/>
    </row>
    <row r="78" spans="3:25" x14ac:dyDescent="0.25">
      <c r="I78" s="1">
        <f>COUNTIFS(SprintBackLog[COLABORADOR (A)],"Matheus Emboaba")</f>
        <v>0</v>
      </c>
    </row>
    <row r="79" spans="3:25" hidden="1" x14ac:dyDescent="0.25">
      <c r="I79" s="1">
        <f>COUNTIFS(SprintBackLog[COLABORADOR (A)],"Guilherme Leite")</f>
        <v>0</v>
      </c>
    </row>
    <row r="80" spans="3:25" hidden="1" x14ac:dyDescent="0.25"/>
    <row r="88" ht="15" customHeight="1" x14ac:dyDescent="0.25"/>
  </sheetData>
  <phoneticPr fontId="11" type="noConversion"/>
  <conditionalFormatting sqref="C42:N75 C5:N39">
    <cfRule type="expression" dxfId="9" priority="1">
      <formula>$D5="SPRINT4"</formula>
    </cfRule>
    <cfRule type="expression" dxfId="8" priority="2">
      <formula>$D5="SPRINT3"</formula>
    </cfRule>
    <cfRule type="expression" dxfId="7" priority="3">
      <formula>$D5="SPRINT2"</formula>
    </cfRule>
    <cfRule type="expression" dxfId="6" priority="4">
      <formula>$D5="SPRINT1"</formula>
    </cfRule>
    <cfRule type="expression" dxfId="5" priority="56">
      <formula>$L5="Transferido"</formula>
    </cfRule>
    <cfRule type="expression" dxfId="4" priority="57">
      <formula>$L5="Em Espera"</formula>
    </cfRule>
    <cfRule type="expression" dxfId="3" priority="58">
      <formula>$L5="Em Andamento"</formula>
    </cfRule>
    <cfRule type="expression" dxfId="2" priority="59">
      <formula>$L5="Concluído"</formula>
    </cfRule>
    <cfRule type="expression" dxfId="1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42:D75 D5:D39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42:G75 G5:G39" xr:uid="{B5151D5B-4AF5-4B2D-9DC8-9DD8373ECE34}">
      <formula1>PlanningPoker</formula1>
    </dataValidation>
    <dataValidation type="list" allowBlank="1" showInputMessage="1" showErrorMessage="1" sqref="L42:L75 L5:L39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42:F75 F5:F39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K42:K75 K5:K39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I42:I75 I5:I39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J42:J75 J5:J39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tabSelected="1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U11" sqref="U11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31" t="str">
        <f>C11</f>
        <v>SPRINT1</v>
      </c>
      <c r="D4" s="131"/>
      <c r="E4" s="117" t="s">
        <v>116</v>
      </c>
      <c r="F4" s="117" t="s">
        <v>117</v>
      </c>
      <c r="G4" s="117" t="s">
        <v>118</v>
      </c>
      <c r="H4" s="117" t="s">
        <v>119</v>
      </c>
      <c r="I4" s="117" t="s">
        <v>120</v>
      </c>
      <c r="J4" s="117" t="s">
        <v>121</v>
      </c>
      <c r="K4" s="117" t="s">
        <v>122</v>
      </c>
      <c r="L4" s="117" t="s">
        <v>123</v>
      </c>
      <c r="M4" s="117" t="s">
        <v>124</v>
      </c>
      <c r="N4" s="117" t="s">
        <v>125</v>
      </c>
      <c r="O4" s="117" t="s">
        <v>253</v>
      </c>
      <c r="P4" s="117" t="s">
        <v>254</v>
      </c>
      <c r="Q4" s="117" t="s">
        <v>255</v>
      </c>
      <c r="R4" s="117" t="s">
        <v>256</v>
      </c>
      <c r="S4" s="117" t="s">
        <v>257</v>
      </c>
      <c r="T4" s="117" t="s">
        <v>258</v>
      </c>
      <c r="U4" s="117" t="s">
        <v>259</v>
      </c>
      <c r="V4" s="117" t="s">
        <v>260</v>
      </c>
      <c r="W4" s="117" t="s">
        <v>261</v>
      </c>
      <c r="X4" s="117" t="s">
        <v>262</v>
      </c>
    </row>
    <row r="5" spans="1:26" ht="15.75" customHeight="1" x14ac:dyDescent="0.25">
      <c r="C5" s="131"/>
      <c r="D5" s="131"/>
      <c r="E5" s="114">
        <f>E12+1</f>
        <v>44264</v>
      </c>
      <c r="F5" s="114">
        <f t="shared" ref="F5:X5" si="0">IF(E5&lt;$F$12,SUM(E5+1),"")</f>
        <v>44265</v>
      </c>
      <c r="G5" s="114">
        <f t="shared" si="0"/>
        <v>44266</v>
      </c>
      <c r="H5" s="114">
        <f t="shared" si="0"/>
        <v>44267</v>
      </c>
      <c r="I5" s="114">
        <f t="shared" si="0"/>
        <v>44268</v>
      </c>
      <c r="J5" s="114">
        <f t="shared" si="0"/>
        <v>44269</v>
      </c>
      <c r="K5" s="114">
        <f t="shared" si="0"/>
        <v>44270</v>
      </c>
      <c r="L5" s="114">
        <f t="shared" si="0"/>
        <v>44271</v>
      </c>
      <c r="M5" s="114">
        <f t="shared" si="0"/>
        <v>44272</v>
      </c>
      <c r="N5" s="114">
        <f t="shared" si="0"/>
        <v>44273</v>
      </c>
      <c r="O5" s="114">
        <f t="shared" si="0"/>
        <v>44274</v>
      </c>
      <c r="P5" s="114">
        <f t="shared" si="0"/>
        <v>44275</v>
      </c>
      <c r="Q5" s="114">
        <f t="shared" si="0"/>
        <v>44276</v>
      </c>
      <c r="R5" s="114">
        <f t="shared" si="0"/>
        <v>44277</v>
      </c>
      <c r="S5" s="114">
        <f t="shared" si="0"/>
        <v>44278</v>
      </c>
      <c r="T5" s="114">
        <f t="shared" si="0"/>
        <v>44279</v>
      </c>
      <c r="U5" s="114">
        <f t="shared" si="0"/>
        <v>44280</v>
      </c>
      <c r="V5" s="114">
        <f t="shared" si="0"/>
        <v>44281</v>
      </c>
      <c r="W5" s="114">
        <f t="shared" si="0"/>
        <v>44282</v>
      </c>
      <c r="X5" s="114">
        <f t="shared" si="0"/>
        <v>44283</v>
      </c>
    </row>
    <row r="6" spans="1:26" ht="18" customHeight="1" x14ac:dyDescent="0.25">
      <c r="C6" s="129" t="s">
        <v>265</v>
      </c>
      <c r="D6" s="130"/>
      <c r="E6" s="165">
        <f>IFERROR(SUMIFS(SPBL!$H$5:$H$75,SPBL!$D$5:$D$75,$C$11),"")</f>
        <v>106</v>
      </c>
      <c r="F6" s="116">
        <f>E6-$E$6/(COUNT($E$5:$X$5)-1)</f>
        <v>100.42105263157895</v>
      </c>
      <c r="G6" s="116">
        <f t="shared" ref="G6:X6" si="1">F6-$E$6/(COUNT($E$5:$X$5)-1)</f>
        <v>94.84210526315789</v>
      </c>
      <c r="H6" s="116">
        <f t="shared" si="1"/>
        <v>89.263157894736835</v>
      </c>
      <c r="I6" s="116">
        <f t="shared" si="1"/>
        <v>83.68421052631578</v>
      </c>
      <c r="J6" s="116">
        <f t="shared" si="1"/>
        <v>78.105263157894726</v>
      </c>
      <c r="K6" s="116">
        <f t="shared" si="1"/>
        <v>72.526315789473671</v>
      </c>
      <c r="L6" s="116">
        <f t="shared" si="1"/>
        <v>66.947368421052616</v>
      </c>
      <c r="M6" s="116">
        <f t="shared" si="1"/>
        <v>61.368421052631561</v>
      </c>
      <c r="N6" s="116">
        <f t="shared" si="1"/>
        <v>55.789473684210506</v>
      </c>
      <c r="O6" s="116">
        <f t="shared" si="1"/>
        <v>50.210526315789451</v>
      </c>
      <c r="P6" s="116">
        <f t="shared" si="1"/>
        <v>44.631578947368396</v>
      </c>
      <c r="Q6" s="116">
        <f t="shared" si="1"/>
        <v>39.052631578947341</v>
      </c>
      <c r="R6" s="116">
        <f t="shared" si="1"/>
        <v>33.473684210526287</v>
      </c>
      <c r="S6" s="116">
        <f t="shared" si="1"/>
        <v>27.894736842105235</v>
      </c>
      <c r="T6" s="116">
        <f t="shared" si="1"/>
        <v>22.315789473684184</v>
      </c>
      <c r="U6" s="116">
        <f t="shared" si="1"/>
        <v>16.736842105263133</v>
      </c>
      <c r="V6" s="116">
        <f t="shared" si="1"/>
        <v>11.157894736842081</v>
      </c>
      <c r="W6" s="116">
        <f t="shared" si="1"/>
        <v>5.5789473684210291</v>
      </c>
      <c r="X6" s="116">
        <f t="shared" si="1"/>
        <v>-2.3092638912203256E-14</v>
      </c>
      <c r="Y6"/>
      <c r="Z6"/>
    </row>
    <row r="7" spans="1:26" ht="18" customHeight="1" x14ac:dyDescent="0.25">
      <c r="C7" s="129" t="s">
        <v>266</v>
      </c>
      <c r="D7" s="130"/>
      <c r="E7" s="166">
        <v>0</v>
      </c>
      <c r="F7" s="166">
        <v>0</v>
      </c>
      <c r="G7" s="166">
        <v>3</v>
      </c>
      <c r="H7" s="166">
        <v>3</v>
      </c>
      <c r="I7" s="166">
        <v>3</v>
      </c>
      <c r="J7" s="166">
        <v>3</v>
      </c>
      <c r="K7" s="166">
        <v>6</v>
      </c>
      <c r="L7" s="166">
        <v>7</v>
      </c>
      <c r="M7" s="166">
        <v>6</v>
      </c>
      <c r="N7" s="166">
        <v>5</v>
      </c>
      <c r="O7" s="166">
        <v>4</v>
      </c>
      <c r="P7" s="166">
        <v>0</v>
      </c>
      <c r="Q7" s="166">
        <v>0</v>
      </c>
      <c r="R7" s="166">
        <v>6</v>
      </c>
      <c r="S7" s="166">
        <v>9</v>
      </c>
      <c r="T7" s="166">
        <v>9</v>
      </c>
      <c r="U7" s="166">
        <v>34</v>
      </c>
      <c r="V7" s="166">
        <v>8</v>
      </c>
      <c r="W7" s="166">
        <v>0</v>
      </c>
      <c r="X7" s="166">
        <v>0</v>
      </c>
    </row>
    <row r="8" spans="1:26" ht="18" customHeight="1" x14ac:dyDescent="0.25">
      <c r="C8" s="129" t="s">
        <v>267</v>
      </c>
      <c r="D8" s="130"/>
      <c r="E8" s="113">
        <f>IFERROR(E6-E7,"")</f>
        <v>106</v>
      </c>
      <c r="F8" s="113">
        <f ca="1">IF(F5&lt;=$G$12,E8-F7,"")</f>
        <v>106</v>
      </c>
      <c r="G8" s="113">
        <f ca="1">IF(G5&lt;=$G$12,F8-G7,"")</f>
        <v>103</v>
      </c>
      <c r="H8" s="113">
        <f t="shared" ref="H8:W8" ca="1" si="2">IF(H5&lt;=$G$12,G8-H7,"")</f>
        <v>100</v>
      </c>
      <c r="I8" s="113">
        <f t="shared" ca="1" si="2"/>
        <v>97</v>
      </c>
      <c r="J8" s="113">
        <f t="shared" ca="1" si="2"/>
        <v>94</v>
      </c>
      <c r="K8" s="113">
        <f t="shared" ca="1" si="2"/>
        <v>88</v>
      </c>
      <c r="L8" s="113">
        <f t="shared" ca="1" si="2"/>
        <v>81</v>
      </c>
      <c r="M8" s="113">
        <f t="shared" ca="1" si="2"/>
        <v>75</v>
      </c>
      <c r="N8" s="113">
        <f t="shared" ca="1" si="2"/>
        <v>70</v>
      </c>
      <c r="O8" s="113">
        <f t="shared" ca="1" si="2"/>
        <v>66</v>
      </c>
      <c r="P8" s="113">
        <f t="shared" ca="1" si="2"/>
        <v>66</v>
      </c>
      <c r="Q8" s="113">
        <f t="shared" ca="1" si="2"/>
        <v>66</v>
      </c>
      <c r="R8" s="113">
        <f t="shared" ca="1" si="2"/>
        <v>60</v>
      </c>
      <c r="S8" s="113">
        <f t="shared" ca="1" si="2"/>
        <v>51</v>
      </c>
      <c r="T8" s="113">
        <f t="shared" ca="1" si="2"/>
        <v>42</v>
      </c>
      <c r="U8" s="113">
        <f t="shared" ca="1" si="2"/>
        <v>8</v>
      </c>
      <c r="V8" s="113">
        <f t="shared" ca="1" si="2"/>
        <v>0</v>
      </c>
      <c r="W8" s="113">
        <f t="shared" ca="1" si="2"/>
        <v>0</v>
      </c>
      <c r="X8" s="113" t="str">
        <f ca="1">IF(X5&lt;=$G$12,W8-X7,"")</f>
        <v/>
      </c>
    </row>
    <row r="11" spans="1:26" ht="15.95" customHeight="1" x14ac:dyDescent="0.25">
      <c r="C11" s="131" t="s">
        <v>95</v>
      </c>
      <c r="D11" s="131"/>
      <c r="E11" s="117" t="s">
        <v>268</v>
      </c>
      <c r="F11" s="117" t="s">
        <v>269</v>
      </c>
      <c r="G11" s="133" t="s">
        <v>270</v>
      </c>
      <c r="H11" s="133"/>
    </row>
    <row r="12" spans="1:26" ht="15.95" customHeight="1" x14ac:dyDescent="0.25">
      <c r="C12" s="131"/>
      <c r="D12" s="131"/>
      <c r="E12" s="114">
        <f>_xlfn.XLOOKUP(C11,Planning[Evento],Planning[Data Início])</f>
        <v>44263</v>
      </c>
      <c r="F12" s="115">
        <f>_xlfn.XLOOKUP(C11,Planning[Evento],Planning[Data Entrega])</f>
        <v>44283</v>
      </c>
      <c r="G12" s="132">
        <f ca="1">TODAY()</f>
        <v>44282</v>
      </c>
      <c r="H12" s="132"/>
    </row>
    <row r="13" spans="1:26" ht="14.25" customHeight="1" x14ac:dyDescent="0.25">
      <c r="C13" s="118"/>
    </row>
    <row r="14" spans="1:26" ht="14.25" customHeight="1" x14ac:dyDescent="0.25">
      <c r="C14" s="118"/>
    </row>
    <row r="15" spans="1:26" ht="14.25" customHeight="1" x14ac:dyDescent="0.25">
      <c r="C15" s="118"/>
    </row>
    <row r="16" spans="1:26" ht="14.25" customHeight="1" x14ac:dyDescent="0.25">
      <c r="C16" s="118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Normal="100" workbookViewId="0">
      <pane xSplit="15" ySplit="2" topLeftCell="P3" activePane="bottomRight" state="frozen"/>
      <selection activeCell="J22" sqref="J22"/>
      <selection pane="topRight" activeCell="J22" sqref="J22"/>
      <selection pane="bottomLeft" activeCell="J22" sqref="J22"/>
      <selection pane="bottomRight" activeCell="C42" sqref="C42:D42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45</v>
      </c>
      <c r="D30" s="63">
        <f>COUNTIFS(SprintBackLog[COLABORADOR (A)],"="&amp;RLT!C30,SprintBackLog[SPRINT],$D$29)</f>
        <v>0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0</v>
      </c>
    </row>
    <row r="31" spans="3:15" ht="15" thickTop="1" x14ac:dyDescent="0.2"/>
    <row r="41" spans="3:7" ht="15" x14ac:dyDescent="0.2">
      <c r="E41" s="62" t="s">
        <v>95</v>
      </c>
      <c r="F41" s="119" t="s">
        <v>109</v>
      </c>
      <c r="G41" s="120" t="s">
        <v>271</v>
      </c>
    </row>
    <row r="42" spans="3:7" ht="21" thickBot="1" x14ac:dyDescent="0.35">
      <c r="C42" s="134" t="s">
        <v>45</v>
      </c>
      <c r="D42" s="134"/>
      <c r="E42" s="162">
        <f>COUNTIFS(SPBL!$I$5:$I$75,"="&amp;RLT!$C$42,SPBL!$D$5:$D$75,"="&amp;RLT!$E$41)</f>
        <v>0</v>
      </c>
      <c r="F42" s="164" t="str">
        <f>SUMIFS(SPBL!G5:$G$75,SPBL!D5:D75,RLT!E41,SPBL!I5:$I$75,RLT!C42)&amp;" / 100"</f>
        <v>0 / 100</v>
      </c>
      <c r="G42" s="163">
        <f>SUMIFS(SPBL!G5:$G$75,SPBL!D5:D75,RLT!E41,SPBL!I5:$I$75,RLT!C42)/100</f>
        <v>0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37" t="s">
        <v>92</v>
      </c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</row>
    <row r="5" spans="1:23" ht="15" thickBot="1" x14ac:dyDescent="0.25"/>
    <row r="6" spans="1:23" ht="15" x14ac:dyDescent="0.2">
      <c r="C6" s="24">
        <v>1</v>
      </c>
      <c r="D6" s="151" t="s">
        <v>83</v>
      </c>
      <c r="E6" s="151"/>
      <c r="F6" s="151"/>
      <c r="G6" s="30"/>
      <c r="H6" s="25"/>
      <c r="I6" s="25"/>
      <c r="J6" s="31"/>
      <c r="K6" s="148" t="s">
        <v>86</v>
      </c>
      <c r="L6" s="148"/>
      <c r="M6" s="148"/>
      <c r="N6" s="34">
        <v>2</v>
      </c>
      <c r="O6" s="30"/>
      <c r="P6" s="25"/>
      <c r="Q6" s="25"/>
      <c r="R6" s="31"/>
      <c r="S6" s="148" t="s">
        <v>91</v>
      </c>
      <c r="T6" s="148"/>
      <c r="U6" s="148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52" t="s">
        <v>84</v>
      </c>
      <c r="H15" s="153"/>
      <c r="I15" s="153"/>
      <c r="J15" s="32">
        <v>3</v>
      </c>
      <c r="K15" s="23"/>
      <c r="L15" s="23"/>
      <c r="M15" s="23"/>
      <c r="N15" s="23"/>
      <c r="O15" s="33">
        <v>7</v>
      </c>
      <c r="P15" s="146" t="s">
        <v>89</v>
      </c>
      <c r="Q15" s="146"/>
      <c r="R15" s="147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54" t="s">
        <v>85</v>
      </c>
      <c r="I25" s="154"/>
      <c r="J25" s="155"/>
      <c r="K25" s="23"/>
      <c r="L25" s="23"/>
      <c r="M25" s="23"/>
      <c r="N25" s="23"/>
      <c r="O25" s="144" t="s">
        <v>90</v>
      </c>
      <c r="P25" s="145"/>
      <c r="Q25" s="145"/>
      <c r="R25" s="36">
        <v>6</v>
      </c>
      <c r="S25" s="23"/>
      <c r="T25" s="23"/>
      <c r="U25" s="23"/>
      <c r="V25" s="28"/>
    </row>
    <row r="26" spans="3:22" ht="15" customHeight="1" x14ac:dyDescent="0.2">
      <c r="C26" s="156">
        <v>5</v>
      </c>
      <c r="D26" s="138" t="s">
        <v>93</v>
      </c>
      <c r="E26" s="138"/>
      <c r="F26" s="138"/>
      <c r="G26" s="138"/>
      <c r="H26" s="138"/>
      <c r="I26" s="138"/>
      <c r="J26" s="138"/>
      <c r="K26" s="138"/>
      <c r="L26" s="139"/>
      <c r="M26" s="30"/>
      <c r="N26" s="25"/>
      <c r="O26" s="25"/>
      <c r="P26" s="25"/>
      <c r="Q26" s="25"/>
      <c r="R26" s="25"/>
      <c r="S26" s="25"/>
      <c r="T26" s="25"/>
      <c r="U26" s="25"/>
      <c r="V26" s="149" t="s">
        <v>88</v>
      </c>
    </row>
    <row r="27" spans="3:22" ht="15" customHeight="1" x14ac:dyDescent="0.2">
      <c r="C27" s="157"/>
      <c r="D27" s="140"/>
      <c r="E27" s="140"/>
      <c r="F27" s="140"/>
      <c r="G27" s="140"/>
      <c r="H27" s="140"/>
      <c r="I27" s="140"/>
      <c r="J27" s="140"/>
      <c r="K27" s="140"/>
      <c r="L27" s="141"/>
      <c r="M27" s="27"/>
      <c r="N27" s="23"/>
      <c r="O27" s="23"/>
      <c r="P27" s="23"/>
      <c r="Q27" s="23"/>
      <c r="R27" s="23"/>
      <c r="S27" s="23"/>
      <c r="T27" s="23"/>
      <c r="U27" s="23"/>
      <c r="V27" s="150"/>
    </row>
    <row r="28" spans="3:22" ht="15" customHeight="1" x14ac:dyDescent="0.2">
      <c r="C28" s="158" t="s">
        <v>87</v>
      </c>
      <c r="D28" s="140"/>
      <c r="E28" s="140"/>
      <c r="F28" s="140"/>
      <c r="G28" s="140"/>
      <c r="H28" s="140"/>
      <c r="I28" s="140"/>
      <c r="J28" s="140"/>
      <c r="K28" s="140"/>
      <c r="L28" s="141"/>
      <c r="M28" s="27"/>
      <c r="N28" s="23"/>
      <c r="O28" s="23"/>
      <c r="P28" s="23"/>
      <c r="Q28" s="23"/>
      <c r="R28" s="23"/>
      <c r="S28" s="23"/>
      <c r="T28" s="23"/>
      <c r="U28" s="23"/>
      <c r="V28" s="150"/>
    </row>
    <row r="29" spans="3:22" ht="15" customHeight="1" x14ac:dyDescent="0.2">
      <c r="C29" s="158"/>
      <c r="D29" s="140"/>
      <c r="E29" s="140"/>
      <c r="F29" s="140"/>
      <c r="G29" s="140"/>
      <c r="H29" s="140"/>
      <c r="I29" s="140"/>
      <c r="J29" s="140"/>
      <c r="K29" s="140"/>
      <c r="L29" s="141"/>
      <c r="M29" s="27"/>
      <c r="N29" s="23"/>
      <c r="O29" s="23"/>
      <c r="P29" s="23"/>
      <c r="Q29" s="23"/>
      <c r="R29" s="23"/>
      <c r="S29" s="23"/>
      <c r="T29" s="23"/>
      <c r="U29" s="23"/>
      <c r="V29" s="150"/>
    </row>
    <row r="30" spans="3:22" ht="15" customHeight="1" x14ac:dyDescent="0.2">
      <c r="C30" s="158"/>
      <c r="D30" s="140"/>
      <c r="E30" s="140"/>
      <c r="F30" s="140"/>
      <c r="G30" s="140"/>
      <c r="H30" s="140"/>
      <c r="I30" s="140"/>
      <c r="J30" s="140"/>
      <c r="K30" s="140"/>
      <c r="L30" s="141"/>
      <c r="M30" s="27"/>
      <c r="N30" s="23"/>
      <c r="O30" s="23"/>
      <c r="P30" s="23"/>
      <c r="Q30" s="23"/>
      <c r="R30" s="23"/>
      <c r="S30" s="23"/>
      <c r="T30" s="23"/>
      <c r="U30" s="23"/>
      <c r="V30" s="150"/>
    </row>
    <row r="31" spans="3:22" ht="15" customHeight="1" x14ac:dyDescent="0.2">
      <c r="C31" s="158"/>
      <c r="D31" s="140"/>
      <c r="E31" s="140"/>
      <c r="F31" s="140"/>
      <c r="G31" s="140"/>
      <c r="H31" s="140"/>
      <c r="I31" s="140"/>
      <c r="J31" s="140"/>
      <c r="K31" s="140"/>
      <c r="L31" s="141"/>
      <c r="M31" s="27"/>
      <c r="N31" s="23"/>
      <c r="O31" s="23"/>
      <c r="P31" s="23"/>
      <c r="Q31" s="23"/>
      <c r="R31" s="23"/>
      <c r="S31" s="23"/>
      <c r="T31" s="23"/>
      <c r="U31" s="23"/>
      <c r="V31" s="150"/>
    </row>
    <row r="32" spans="3:22" ht="15" customHeight="1" x14ac:dyDescent="0.2">
      <c r="C32" s="158"/>
      <c r="D32" s="140"/>
      <c r="E32" s="140"/>
      <c r="F32" s="140"/>
      <c r="G32" s="140"/>
      <c r="H32" s="140"/>
      <c r="I32" s="140"/>
      <c r="J32" s="140"/>
      <c r="K32" s="140"/>
      <c r="L32" s="141"/>
      <c r="M32" s="27"/>
      <c r="N32" s="23"/>
      <c r="O32" s="23"/>
      <c r="P32" s="23"/>
      <c r="Q32" s="23"/>
      <c r="R32" s="23"/>
      <c r="S32" s="23"/>
      <c r="T32" s="23"/>
      <c r="U32" s="23"/>
      <c r="V32" s="150"/>
    </row>
    <row r="33" spans="3:22" ht="15" customHeight="1" x14ac:dyDescent="0.2">
      <c r="C33" s="158"/>
      <c r="D33" s="140"/>
      <c r="E33" s="140"/>
      <c r="F33" s="140"/>
      <c r="G33" s="140"/>
      <c r="H33" s="140"/>
      <c r="I33" s="140"/>
      <c r="J33" s="140"/>
      <c r="K33" s="140"/>
      <c r="L33" s="141"/>
      <c r="M33" s="27"/>
      <c r="N33" s="23"/>
      <c r="O33" s="23"/>
      <c r="P33" s="23"/>
      <c r="Q33" s="23"/>
      <c r="R33" s="23"/>
      <c r="S33" s="23"/>
      <c r="T33" s="23"/>
      <c r="U33" s="23"/>
      <c r="V33" s="150"/>
    </row>
    <row r="34" spans="3:22" ht="15" customHeight="1" x14ac:dyDescent="0.2">
      <c r="C34" s="158"/>
      <c r="D34" s="140"/>
      <c r="E34" s="140"/>
      <c r="F34" s="140"/>
      <c r="G34" s="140"/>
      <c r="H34" s="140"/>
      <c r="I34" s="140"/>
      <c r="J34" s="140"/>
      <c r="K34" s="140"/>
      <c r="L34" s="141"/>
      <c r="M34" s="27"/>
      <c r="N34" s="23"/>
      <c r="O34" s="23"/>
      <c r="P34" s="23"/>
      <c r="Q34" s="23"/>
      <c r="R34" s="23"/>
      <c r="S34" s="23"/>
      <c r="T34" s="23"/>
      <c r="U34" s="23"/>
      <c r="V34" s="135">
        <v>9</v>
      </c>
    </row>
    <row r="35" spans="3:22" ht="15.75" customHeight="1" thickBot="1" x14ac:dyDescent="0.25">
      <c r="C35" s="159"/>
      <c r="D35" s="142"/>
      <c r="E35" s="142"/>
      <c r="F35" s="142"/>
      <c r="G35" s="142"/>
      <c r="H35" s="142"/>
      <c r="I35" s="142"/>
      <c r="J35" s="142"/>
      <c r="K35" s="142"/>
      <c r="L35" s="143"/>
      <c r="M35" s="37"/>
      <c r="N35" s="29"/>
      <c r="O35" s="29"/>
      <c r="P35" s="29"/>
      <c r="Q35" s="29"/>
      <c r="R35" s="29"/>
      <c r="S35" s="29"/>
      <c r="T35" s="29"/>
      <c r="U35" s="29"/>
      <c r="V35" s="136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6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6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6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>
        <f>_xlfn.XLOOKUP(D19,SprintBackLog[ATIVIDADE],SprintBackLog[DURAÇÃO])</f>
        <v>6</v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 t="str">
        <f>_xlfn.XLOOKUP(D20,SprintBackLog[ATIVIDADE],SprintBackLog[DURAÇÃO])</f>
        <v/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 t="str">
        <f>_xlfn.XLOOKUP(D21,SprintBackLog[ATIVIDADE],SprintBackLog[DURAÇÃO])</f>
        <v/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 t="str">
        <f>_xlfn.XLOOKUP(D22,SprintBackLog[ATIVIDADE],SprintBackLog[DURAÇÃO])</f>
        <v/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 t="str">
        <f>_xlfn.XLOOKUP(D23,SprintBackLog[ATIVIDADE],SprintBackLog[DURAÇÃO])</f>
        <v/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 t="str">
        <f>_xlfn.XLOOKUP(D24,SprintBackLog[ATIVIDADE],SprintBackLog[DURAÇÃO])</f>
        <v/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 t="str">
        <f>_xlfn.XLOOKUP(D25,SprintBackLog[ATIVIDADE],SprintBackLog[DURAÇÃO])</f>
        <v/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 t="str">
        <f>_xlfn.XLOOKUP(D26,SprintBackLog[ATIVIDADE],SprintBackLog[DURAÇÃO])</f>
        <v/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 t="str">
        <f>_xlfn.XLOOKUP(D27,SprintBackLog[ATIVIDADE],SprintBackLog[DURAÇÃO])</f>
        <v/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 t="str">
        <f>_xlfn.XLOOKUP(D28,SprintBackLog[ATIVIDADE],SprintBackLog[DURAÇÃO])</f>
        <v/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 t="str">
        <f>_xlfn.XLOOKUP(D29,SprintBackLog[ATIVIDADE],SprintBackLog[DURAÇÃO])</f>
        <v/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 t="str">
        <f>_xlfn.XLOOKUP(D30,SprintBackLog[ATIVIDADE],SprintBackLog[DURAÇÃO])</f>
        <v/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 t="str">
        <f>_xlfn.XLOOKUP(D31,SprintBackLog[ATIVIDADE],SprintBackLog[DURAÇÃO])</f>
        <v/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str">
        <f>_xlfn.XLOOKUP(D32,SprintBackLog[ATIVIDADE],SprintBackLog[DURAÇÃO])</f>
        <v/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str">
        <f>_xlfn.XLOOKUP(D33,SprintBackLog[ATIVIDADE],SprintBackLog[DURAÇÃO])</f>
        <v/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str">
        <f>_xlfn.XLOOKUP(D34,SprintBackLog[ATIVIDADE],SprintBackLog[DURAÇÃO])</f>
        <v/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str">
        <f>_xlfn.XLOOKUP(D35,SprintBackLog[ATIVIDADE],SprintBackLog[DURAÇÃO])</f>
        <v/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str">
        <f>_xlfn.XLOOKUP(D36,SprintBackLog[ATIVIDADE],SprintBackLog[DURAÇÃO])</f>
        <v/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 t="str">
        <f>_xlfn.XLOOKUP(D37,SprintBackLog[ATIVIDADE],SprintBackLog[DURAÇÃO])</f>
        <v/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 t="str">
        <f>_xlfn.XLOOKUP(D38,SprintBackLog[ATIVIDADE],SprintBackLog[DURAÇÃO])</f>
        <v/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str">
        <f>_xlfn.XLOOKUP(D39,SprintBackLog[ATIVIDADE],SprintBackLog[DURAÇÃO])</f>
        <v/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 t="str">
        <f>_xlfn.XLOOKUP(D40,SprintBackLog[ATIVIDADE],SprintBackLog[DURAÇÃO])</f>
        <v/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60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61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0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25</vt:i4>
      </vt:variant>
    </vt:vector>
  </HeadingPairs>
  <TitlesOfParts>
    <vt:vector size="36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2021-03-27T14:18:36Z</dcterms:modified>
</cp:coreProperties>
</file>