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tic\OneDrive\Área de Trabalho\FATEC\2º SEMESTRE ADS\API\SPRINT 3\"/>
    </mc:Choice>
  </mc:AlternateContent>
  <xr:revisionPtr revIDLastSave="0" documentId="13_ncr:1_{9039F961-6E51-49FE-9719-FBDA680DEA17}" xr6:coauthVersionLast="46" xr6:coauthVersionMax="46" xr10:uidLastSave="{00000000-0000-0000-0000-000000000000}"/>
  <bookViews>
    <workbookView xWindow="-120" yWindow="-120" windowWidth="20730" windowHeight="11160" activeTab="5" xr2:uid="{DA3C194E-5A97-4560-BCB0-6CC56066ED00}"/>
  </bookViews>
  <sheets>
    <sheet name="EQP" sheetId="3" r:id="rId1"/>
    <sheet name="LGD" sheetId="2" r:id="rId2"/>
    <sheet name="PNN" sheetId="5" r:id="rId3"/>
    <sheet name="DLY" sheetId="6" r:id="rId4"/>
    <sheet name="PBL" sheetId="14" r:id="rId5"/>
    <sheet name="SPBL" sheetId="12" r:id="rId6"/>
    <sheet name="BDW" sheetId="25" r:id="rId7"/>
    <sheet name="RLT" sheetId="19" r:id="rId8"/>
    <sheet name="PLN" sheetId="10" r:id="rId9"/>
    <sheet name="MDL" sheetId="9" r:id="rId10"/>
    <sheet name="CARD 3" sheetId="27" r:id="rId11"/>
    <sheet name="BDW 1" sheetId="24" state="hidden" r:id="rId12"/>
  </sheets>
  <definedNames>
    <definedName name="bdwcg" localSheetId="6">BDW!#REF!</definedName>
    <definedName name="bdwcg">'BDW 1'!$E$42:$O$43</definedName>
    <definedName name="Colaboradores">EQP!$C$5:$C$13</definedName>
    <definedName name="PlanningPoker">LGD!$M$5:$M$10</definedName>
    <definedName name="Prioridade">LGD!$E$5:$E$34</definedName>
    <definedName name="Sprint">#REF!</definedName>
    <definedName name="SPRINT1" localSheetId="6">tbSprint1[SPRINT1]</definedName>
    <definedName name="SPRINT1" localSheetId="11">tbSprint1[SPRINT1]</definedName>
    <definedName name="SPRINT1" localSheetId="7">tbSprint1[SPRINT1]</definedName>
    <definedName name="SPRINT1">tbSprint1[SPRINT1]</definedName>
    <definedName name="SPRINT2" localSheetId="6">tbSprint2[SPRINT2]</definedName>
    <definedName name="SPRINT2" localSheetId="11">tbSprint2[SPRINT2]</definedName>
    <definedName name="SPRINT2" localSheetId="7">tbSprint2[SPRINT2]</definedName>
    <definedName name="SPRINT2">tbSprint2[SPRINT2]</definedName>
    <definedName name="SPRINT3" localSheetId="6">tbSprint3[SPRINT3]</definedName>
    <definedName name="SPRINT3" localSheetId="11">tbSprint3[SPRINT3]</definedName>
    <definedName name="SPRINT3" localSheetId="7">tbSprint3[SPRINT3]</definedName>
    <definedName name="SPRINT3">tbSprint3[SPRINT3]</definedName>
    <definedName name="SPRINT4" localSheetId="6">tbSprint4[SPRINT4]</definedName>
    <definedName name="SPRINT4" localSheetId="11">tbSprint4[SPRINT4]</definedName>
    <definedName name="SPRINT4" localSheetId="7">tbSprint4[SPRINT4]</definedName>
    <definedName name="SPRINT4">tbSprint4[SPRINT4]</definedName>
    <definedName name="SPRINTS" localSheetId="6">tbSprints[SPRINTS]</definedName>
    <definedName name="SPRINTS" localSheetId="11">tbSprints[SPRINTS]</definedName>
    <definedName name="SPRINTS" localSheetId="7">tbSprints[SPRINTS]</definedName>
    <definedName name="SPRINTS">tbSprints[SPRINTS]</definedName>
    <definedName name="Status">LGD!$G$5:$G$14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7" i="27" l="1"/>
  <c r="G16" i="27"/>
  <c r="G15" i="27"/>
  <c r="G14" i="27"/>
  <c r="G13" i="27"/>
  <c r="G12" i="27"/>
  <c r="G11" i="27"/>
  <c r="G10" i="27"/>
  <c r="G9" i="27"/>
  <c r="G8" i="27"/>
  <c r="G7" i="27"/>
  <c r="G6" i="27"/>
  <c r="G5" i="27"/>
  <c r="G4" i="27"/>
  <c r="G3" i="27"/>
  <c r="E12" i="25"/>
  <c r="I30" i="19"/>
  <c r="G42" i="19"/>
  <c r="F42" i="19"/>
  <c r="E42" i="19"/>
  <c r="H5" i="12"/>
  <c r="H11" i="12"/>
  <c r="H12" i="12"/>
  <c r="H13" i="12"/>
  <c r="H14" i="12"/>
  <c r="H15" i="12"/>
  <c r="H23" i="12"/>
  <c r="H24" i="12"/>
  <c r="H25" i="12"/>
  <c r="H26" i="12"/>
  <c r="H27" i="12"/>
  <c r="H20" i="12"/>
  <c r="H21" i="12"/>
  <c r="H22" i="12"/>
  <c r="H30" i="12"/>
  <c r="H39" i="12"/>
  <c r="C4" i="25" l="1"/>
  <c r="F12" i="25"/>
  <c r="G12" i="25"/>
  <c r="H28" i="12"/>
  <c r="H29" i="12"/>
  <c r="H40" i="12"/>
  <c r="H41" i="12"/>
  <c r="H36" i="12"/>
  <c r="E11" i="24" s="1"/>
  <c r="H37" i="12"/>
  <c r="E12" i="24" s="1"/>
  <c r="H31" i="12"/>
  <c r="E13" i="24" s="1"/>
  <c r="H38" i="12"/>
  <c r="E14" i="24" s="1"/>
  <c r="E15" i="24"/>
  <c r="H32" i="12"/>
  <c r="E16" i="24" s="1"/>
  <c r="H33" i="12"/>
  <c r="E17" i="24" s="1"/>
  <c r="H34" i="12"/>
  <c r="E18" i="24" s="1"/>
  <c r="H35" i="12"/>
  <c r="E19" i="24" s="1"/>
  <c r="O21" i="19"/>
  <c r="N21" i="19"/>
  <c r="M21" i="19"/>
  <c r="L21" i="19"/>
  <c r="K21" i="19"/>
  <c r="E5" i="25" l="1"/>
  <c r="H30" i="19"/>
  <c r="G30" i="19"/>
  <c r="F30" i="19"/>
  <c r="E30" i="19"/>
  <c r="D30" i="19"/>
  <c r="I11" i="19"/>
  <c r="G11" i="19"/>
  <c r="H11" i="19"/>
  <c r="F11" i="19"/>
  <c r="E11" i="19"/>
  <c r="F5" i="25" l="1"/>
  <c r="G5" i="25" s="1"/>
  <c r="I85" i="12"/>
  <c r="I84" i="12"/>
  <c r="H5" i="25" l="1"/>
  <c r="E7" i="24"/>
  <c r="E6" i="24"/>
  <c r="E5" i="24"/>
  <c r="H42" i="12"/>
  <c r="H43" i="12"/>
  <c r="H44" i="12"/>
  <c r="H45" i="12"/>
  <c r="H46" i="12"/>
  <c r="H47" i="12"/>
  <c r="H48" i="12"/>
  <c r="H49" i="12"/>
  <c r="H50" i="12"/>
  <c r="H51" i="12"/>
  <c r="H52" i="12"/>
  <c r="H53" i="12"/>
  <c r="H6" i="12"/>
  <c r="H7" i="12"/>
  <c r="H8" i="12"/>
  <c r="H9" i="12"/>
  <c r="H10" i="12"/>
  <c r="H16" i="12"/>
  <c r="H17" i="12"/>
  <c r="H18" i="12"/>
  <c r="H19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E9" i="24"/>
  <c r="E6" i="25" l="1"/>
  <c r="E8" i="25" s="1"/>
  <c r="I5" i="25"/>
  <c r="E40" i="24"/>
  <c r="E38" i="24"/>
  <c r="E36" i="24"/>
  <c r="E34" i="24"/>
  <c r="E32" i="24"/>
  <c r="E30" i="24"/>
  <c r="E28" i="24"/>
  <c r="E26" i="24"/>
  <c r="E24" i="24"/>
  <c r="E22" i="24"/>
  <c r="E39" i="24"/>
  <c r="E37" i="24"/>
  <c r="E35" i="24"/>
  <c r="E33" i="24"/>
  <c r="E31" i="24"/>
  <c r="E29" i="24"/>
  <c r="E27" i="24"/>
  <c r="E25" i="24"/>
  <c r="E23" i="24"/>
  <c r="E21" i="24"/>
  <c r="E20" i="24"/>
  <c r="E10" i="24"/>
  <c r="E8" i="24"/>
  <c r="J13" i="5"/>
  <c r="J11" i="5"/>
  <c r="J9" i="5"/>
  <c r="J7" i="5"/>
  <c r="J12" i="5"/>
  <c r="J5" i="5"/>
  <c r="J16" i="5"/>
  <c r="J15" i="5"/>
  <c r="J14" i="5"/>
  <c r="J10" i="5"/>
  <c r="J8" i="5"/>
  <c r="J6" i="5"/>
  <c r="J21" i="19"/>
  <c r="F8" i="25" l="1"/>
  <c r="G8" i="25" s="1"/>
  <c r="H8" i="25" s="1"/>
  <c r="I8" i="25" s="1"/>
  <c r="J5" i="25"/>
  <c r="E42" i="24"/>
  <c r="F42" i="24" s="1" a="1"/>
  <c r="F42" i="24" s="1"/>
  <c r="G42" i="24" s="1" a="1"/>
  <c r="G42" i="24" s="1"/>
  <c r="H42" i="24" s="1" a="1"/>
  <c r="H42" i="24" s="1"/>
  <c r="I42" i="24" s="1" a="1"/>
  <c r="I42" i="24" s="1"/>
  <c r="J42" i="24" s="1" a="1"/>
  <c r="J42" i="24" s="1"/>
  <c r="K42" i="24" s="1" a="1"/>
  <c r="K42" i="24" s="1"/>
  <c r="L42" i="24" s="1" a="1"/>
  <c r="L42" i="24" s="1"/>
  <c r="M42" i="24" s="1" a="1"/>
  <c r="M42" i="24" s="1"/>
  <c r="N42" i="24" s="1" a="1"/>
  <c r="N42" i="24" s="1"/>
  <c r="O42" i="24" s="1" a="1"/>
  <c r="O42" i="24" s="1"/>
  <c r="E43" i="24"/>
  <c r="F43" i="24" s="1"/>
  <c r="G43" i="24" s="1"/>
  <c r="H43" i="24" s="1"/>
  <c r="I43" i="24" s="1"/>
  <c r="J43" i="24" s="1"/>
  <c r="K43" i="24" s="1"/>
  <c r="L43" i="24" s="1"/>
  <c r="M43" i="24" s="1"/>
  <c r="N43" i="24" s="1"/>
  <c r="O43" i="24" s="1"/>
  <c r="D11" i="19"/>
  <c r="J8" i="25" l="1"/>
  <c r="K5" i="25"/>
  <c r="K8" i="25" l="1"/>
  <c r="L5" i="25"/>
  <c r="L8" i="25" l="1"/>
  <c r="M5" i="25"/>
  <c r="M8" i="25" l="1"/>
  <c r="N5" i="25"/>
  <c r="N8" i="25" l="1"/>
  <c r="O5" i="25"/>
  <c r="O8" i="25" l="1"/>
  <c r="P5" i="25"/>
  <c r="P8" i="25" l="1"/>
  <c r="Q5" i="25"/>
  <c r="Q8" i="25" l="1"/>
  <c r="R5" i="25"/>
  <c r="R8" i="25" l="1"/>
  <c r="S5" i="25"/>
  <c r="S8" i="25" l="1"/>
  <c r="T5" i="25"/>
  <c r="T8" i="25" l="1"/>
  <c r="U5" i="25"/>
  <c r="U8" i="25" l="1"/>
  <c r="V5" i="25"/>
  <c r="V8" i="25" l="1"/>
  <c r="W5" i="25"/>
  <c r="W8" i="25" l="1"/>
  <c r="X5" i="25"/>
  <c r="X8" i="25" l="1"/>
  <c r="F6" i="25"/>
  <c r="G6" i="25" s="1"/>
  <c r="H6" i="25" s="1"/>
  <c r="I6" i="25" s="1"/>
  <c r="J6" i="25" s="1"/>
  <c r="K6" i="25" s="1"/>
  <c r="L6" i="25" s="1"/>
  <c r="M6" i="25" s="1"/>
  <c r="N6" i="25" s="1"/>
  <c r="O6" i="25" s="1"/>
  <c r="P6" i="25" s="1"/>
  <c r="Q6" i="25" s="1"/>
  <c r="R6" i="25" s="1"/>
  <c r="S6" i="25" s="1"/>
  <c r="T6" i="25" s="1"/>
  <c r="U6" i="25" s="1"/>
  <c r="V6" i="25" s="1"/>
  <c r="W6" i="25" s="1"/>
  <c r="X6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tc={205D7420-1835-41A2-9BB4-50ACDA54FE3F}</author>
    <author>tc={58DB843A-91E2-47BB-8F88-220C67EA1BBF}</author>
    <author>tc={A284F4DC-7B77-4463-A969-F949A8979C69}</author>
    <author>tc={AB4A96DE-EDA2-408B-A0F4-51E121EEABEF}</author>
  </authors>
  <commentList>
    <comment ref="M5" authorId="0" shapeId="0" xr:uid="{205D7420-1835-41A2-9BB4-50ACDA54FE3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Fácil</t>
      </text>
    </comment>
    <comment ref="M7" authorId="1" shapeId="0" xr:uid="{58DB843A-91E2-47BB-8F88-220C67EA1BB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Médio</t>
      </text>
    </comment>
    <comment ref="M9" authorId="2" shapeId="0" xr:uid="{A284F4DC-7B77-4463-A969-F949A8979C6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Difícil</t>
      </text>
    </comment>
    <comment ref="M11" authorId="3" shapeId="0" xr:uid="{AB4A96DE-EDA2-408B-A0F4-51E121EEABE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Muito Difícil - Analisar de Novo.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tc={D472ED76-6DE6-4AE2-AC04-806A42973B63}</author>
  </authors>
  <commentList>
    <comment ref="G4" authorId="0" shapeId="0" xr:uid="{D472ED76-6DE6-4AE2-AC04-806A42973B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PLANNING POKER baseado no USER HISTORY
1 e 2 Fácil
3 e 5 Médio
8 e 13 Difícil
20 Analisar de Novo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tc={F7F6414F-BCDD-4533-AB7B-804FB3DC8163}</author>
    <author>tc={DE94CC48-B5D1-49BA-9705-47306F083056}</author>
    <author>tc={1D925809-6B42-41E4-AC78-EAE05FABB5B6}</author>
    <author>tc={7D1F495F-07A1-414E-AB64-7F6B39C1F9E7}</author>
    <author>tc={49758792-2136-4031-9E7E-2D1B53E2BEF0}</author>
    <author>tc={D3E6DB35-1269-419A-9BFC-74AAA6D6FBBA}</author>
    <author>tc={6D7847B8-695C-4447-9779-9FF662AA32D8}</author>
    <author>tc={268F5367-9AD7-452A-9EC6-E5F8E1BE1F44}</author>
    <author>tc={5F9D5B79-8501-4B3A-84EE-C31E66653B17}</author>
  </authors>
  <commentList>
    <comment ref="D6" authorId="0" shapeId="0" xr:uid="{F7F6414F-BCDD-4533-AB7B-804FB3DC81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Define os diferentes grupos de pessoas ou organizações que uma empresa busca alcançar e servir.</t>
      </text>
    </comment>
    <comment ref="K6" authorId="1" shapeId="0" xr:uid="{DE94CC48-B5D1-49BA-9705-47306F0830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>
      </text>
    </comment>
    <comment ref="S6" authorId="2" shapeId="0" xr:uid="{1D925809-6B42-41E4-AC78-EAE05FABB5B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>
      </text>
    </comment>
    <comment ref="G15" authorId="3" shapeId="0" xr:uid="{7D1F495F-07A1-414E-AB64-7F6B39C1F9E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como uma empresa se comunica e alcança seus Clientes para entregar uma Proposta de valor.</t>
      </text>
    </comment>
    <comment ref="P15" authorId="4" shapeId="0" xr:uid="{49758792-2136-4031-9E7E-2D1B53E2BEF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as ações mais importantes que uma empresas deve tomar para fazer funcionar seu Model.
Produção
Resulação de Problemas
Plataforma/Rede</t>
      </text>
    </comment>
    <comment ref="H25" authorId="5" shapeId="0" xr:uid="{D3E6DB35-1269-419A-9BFC-74AAA6D6FBB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tipo de relação que uma empresa estabelece com seus Cliente.</t>
      </text>
    </comment>
    <comment ref="O25" authorId="6" shapeId="0" xr:uid="{6D7847B8-695C-4447-9779-9FF662AA32D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os recurso mais importantes exigidos para fazer o Modelo funcionar.
Físico
Intelectual
Humano
Financeiro</t>
      </text>
    </comment>
    <comment ref="V26" authorId="7" shapeId="0" xr:uid="{268F5367-9AD7-452A-9EC6-E5F8E1BE1F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Descreva todos os custos envolvidos na operação do Modelo.
Direcionadas pelo custo ou pelo valor
Custos fixos
Custos variáveis</t>
      </text>
    </comment>
    <comment ref="C28" authorId="8" shapeId="0" xr:uid="{5F9D5B79-8501-4B3A-84EE-C31E66653B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Representa o dinheiro que uma empresa gera a partir dos clientes.
Venda de recursos
Taxa de uso
Taxa de Assinatura
Alugueis/Leasing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<sst xmlns="http://schemas.openxmlformats.org/spreadsheetml/2006/main" count="767" uniqueCount="355">
  <si>
    <t>Tipo</t>
  </si>
  <si>
    <t>Valor</t>
  </si>
  <si>
    <t>Email</t>
  </si>
  <si>
    <t>GitHub</t>
  </si>
  <si>
    <t>Telefone</t>
  </si>
  <si>
    <t>Cargo</t>
  </si>
  <si>
    <t>Daniela Meirelles</t>
  </si>
  <si>
    <t>daniela.meirelles@fatec.sp.gov.br</t>
  </si>
  <si>
    <t>https://github.com/DanielaMeirelles</t>
  </si>
  <si>
    <t>(12) 99731-1701</t>
  </si>
  <si>
    <t>Scrum Team</t>
  </si>
  <si>
    <t>Guilherme Leite</t>
  </si>
  <si>
    <t>guilherme.silva255@fatec.sp.gov.br</t>
  </si>
  <si>
    <t>https://github.com/Glsilva</t>
  </si>
  <si>
    <t>(12) 98823-9539</t>
  </si>
  <si>
    <t>Leonardo Ribeiro</t>
  </si>
  <si>
    <t>leonardo.ribeiro11@fatec.sp.gov.br</t>
  </si>
  <si>
    <t>https://github.com/Leo0256</t>
  </si>
  <si>
    <t>(12) 98281-1808</t>
  </si>
  <si>
    <t>Scrum Master</t>
  </si>
  <si>
    <t>Letícia Salles</t>
  </si>
  <si>
    <t>leticia.costa12@fatec.sp.gov.br</t>
  </si>
  <si>
    <t>https://github.com/leticiasalles</t>
  </si>
  <si>
    <t>(12) 99657-8993</t>
  </si>
  <si>
    <t>Matheus Emboaba</t>
  </si>
  <si>
    <t>matheus.souza130@fatec.sp.gov.br</t>
  </si>
  <si>
    <t>https://github.com/MatheusEmboabaTeteu</t>
  </si>
  <si>
    <t>(12) 98820-6735</t>
  </si>
  <si>
    <t>Patrícia Ciliato</t>
  </si>
  <si>
    <t>patricia.ciliato@fatec.sp.gov.br</t>
  </si>
  <si>
    <t>https://github.com/Ppistache</t>
  </si>
  <si>
    <t>(12) 99143-7543</t>
  </si>
  <si>
    <t>Thiago Silva</t>
  </si>
  <si>
    <t>thiago.silva403@fatec.sp.gov.br</t>
  </si>
  <si>
    <t>https://github.com/tsilvaBR</t>
  </si>
  <si>
    <t>(12) 98139-1739</t>
  </si>
  <si>
    <t>Sarah Santana</t>
  </si>
  <si>
    <t>Laroy Bersot</t>
  </si>
  <si>
    <t>Cargos</t>
  </si>
  <si>
    <t>Prioridade</t>
  </si>
  <si>
    <t>Status</t>
  </si>
  <si>
    <t>Sprint</t>
  </si>
  <si>
    <t xml:space="preserve">Colaboradores </t>
  </si>
  <si>
    <t xml:space="preserve">Letícia </t>
  </si>
  <si>
    <t>Product Owner</t>
  </si>
  <si>
    <t>Guilherme</t>
  </si>
  <si>
    <t>Concluído</t>
  </si>
  <si>
    <t xml:space="preserve">Daniela </t>
  </si>
  <si>
    <t xml:space="preserve">Leonardo </t>
  </si>
  <si>
    <t xml:space="preserve">Patrícia </t>
  </si>
  <si>
    <t>Em Espera</t>
  </si>
  <si>
    <t xml:space="preserve">Matheus </t>
  </si>
  <si>
    <t>Thiago</t>
  </si>
  <si>
    <t>Evento</t>
  </si>
  <si>
    <t>Data Início</t>
  </si>
  <si>
    <t>Data Entrega</t>
  </si>
  <si>
    <t>Avaliado</t>
  </si>
  <si>
    <t>Data Planning</t>
  </si>
  <si>
    <t>Objetivo</t>
  </si>
  <si>
    <t>Duração Estimado (d)</t>
  </si>
  <si>
    <t>Apresentação Final</t>
  </si>
  <si>
    <t>Avaliação de Soft Skills</t>
  </si>
  <si>
    <t>Feira de Soluçoes</t>
  </si>
  <si>
    <t>KICK OFF DO PROJETO</t>
  </si>
  <si>
    <t>TESTE 1</t>
  </si>
  <si>
    <t>TESTE 2</t>
  </si>
  <si>
    <t>TESTE 3</t>
  </si>
  <si>
    <t>TESTE 4</t>
  </si>
  <si>
    <r>
      <rPr>
        <b/>
        <sz val="11"/>
        <color theme="1"/>
        <rFont val="Arial"/>
        <family val="2"/>
      </rPr>
      <t>Sprint Plannig:</t>
    </r>
    <r>
      <rPr>
        <sz val="11"/>
        <color theme="1"/>
        <rFont val="Arial"/>
        <family val="2"/>
      </rPr>
      <t xml:space="preserve"> </t>
    </r>
    <r>
      <rPr>
        <i/>
        <sz val="11"/>
        <color theme="1"/>
        <rFont val="Arial"/>
        <family val="2"/>
      </rPr>
      <t>Antes de iniciar a Sprint, fazer uma reunião de planejamento, pois em cada Sprint é definido backlog, sprint backlog, tempo estimado e outros...</t>
    </r>
  </si>
  <si>
    <t>Reunião com o cliente GSW, Débora e Pablo Luan, falaram sobre a empresa. Em seguida descrição do Projeto.</t>
  </si>
  <si>
    <t>Data de Registro</t>
  </si>
  <si>
    <t>Colaborador (a)</t>
  </si>
  <si>
    <t>O que fez ontem?</t>
  </si>
  <si>
    <t>O que vai fazer hoje?</t>
  </si>
  <si>
    <t>Tem algum impedimento?</t>
  </si>
  <si>
    <t>ATIVIDADE</t>
  </si>
  <si>
    <t>PRIORIDADE</t>
  </si>
  <si>
    <t>Escala de Valores</t>
  </si>
  <si>
    <t>Horas</t>
  </si>
  <si>
    <t>"Épico" - "Quebrar a tarefa em tarefas menores"</t>
  </si>
  <si>
    <t>Feature</t>
  </si>
  <si>
    <t>Chore</t>
  </si>
  <si>
    <t>Bug</t>
  </si>
  <si>
    <t>Segmentos de Clientes</t>
  </si>
  <si>
    <t>Canais</t>
  </si>
  <si>
    <t>Relacionamento</t>
  </si>
  <si>
    <t>Oferta de Valor</t>
  </si>
  <si>
    <t>Fontes de Receita</t>
  </si>
  <si>
    <t>Estrutura de Custos</t>
  </si>
  <si>
    <t>Atividades-chave</t>
  </si>
  <si>
    <t>Recursos-chave</t>
  </si>
  <si>
    <t>Parcerias-chave</t>
  </si>
  <si>
    <t>PLANO DE NEGÓCIO</t>
  </si>
  <si>
    <t>sem fontes de receitas no inicio do projeto</t>
  </si>
  <si>
    <r>
      <rPr>
        <b/>
        <sz val="11"/>
        <color theme="1"/>
        <rFont val="Arial"/>
        <family val="2"/>
      </rPr>
      <t>Daily Scrum:</t>
    </r>
    <r>
      <rPr>
        <i/>
        <sz val="11"/>
        <color theme="1"/>
        <rFont val="Arial"/>
        <family val="2"/>
      </rPr>
      <t xml:space="preserve"> Reuniões diárias de 15 minutos e em pé, dentro das informoções que são abordadas nas reunições diárias, responder as 3 Perguntas Básicas...</t>
    </r>
    <r>
      <rPr>
        <sz val="11"/>
        <color theme="1"/>
        <rFont val="Arial"/>
        <family val="2"/>
      </rPr>
      <t xml:space="preserve"> </t>
    </r>
  </si>
  <si>
    <t>SPRINT1</t>
  </si>
  <si>
    <t>SPRINT2</t>
  </si>
  <si>
    <t>SPRINT3</t>
  </si>
  <si>
    <t>SPRINT4</t>
  </si>
  <si>
    <t>Laroy</t>
  </si>
  <si>
    <t xml:space="preserve">Sarah </t>
  </si>
  <si>
    <t>Colaboradores</t>
  </si>
  <si>
    <t>SPRINT</t>
  </si>
  <si>
    <t>DURAÇÃO</t>
  </si>
  <si>
    <t>COLABORADOR (A)</t>
  </si>
  <si>
    <t>STATUS</t>
  </si>
  <si>
    <t>Em Atraso</t>
  </si>
  <si>
    <t>Em Andamento</t>
  </si>
  <si>
    <t>Transferido</t>
  </si>
  <si>
    <t>PLANNING POKER</t>
  </si>
  <si>
    <t>SPRINTS</t>
  </si>
  <si>
    <t>-</t>
  </si>
  <si>
    <t>Restante</t>
  </si>
  <si>
    <t>Estimado</t>
  </si>
  <si>
    <t>Total</t>
  </si>
  <si>
    <t>ATIVIDADES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</si>
  <si>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</si>
  <si>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</si>
  <si>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</si>
  <si>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</si>
  <si>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</si>
  <si>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</si>
  <si>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</si>
  <si>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</si>
  <si>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</si>
  <si>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</si>
  <si>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TESTE</t>
  </si>
  <si>
    <t>PERÍODO</t>
  </si>
  <si>
    <t>TOTAL</t>
  </si>
  <si>
    <t>(12) 98142-9109</t>
  </si>
  <si>
    <t>(12) 99743-4417</t>
  </si>
  <si>
    <t>laroy.prado@fatec.sp.gov.br</t>
  </si>
  <si>
    <t>https://github.com/Sarah781</t>
  </si>
  <si>
    <t>https://github.com/laroyprado</t>
  </si>
  <si>
    <t>sarah.santana@fatec.sp.gov.br</t>
  </si>
  <si>
    <t>USER HISTORY SPRINT  01</t>
  </si>
  <si>
    <t>USER HISTORY SPRINT  02</t>
  </si>
  <si>
    <t>USER HISTORY SPRINT  03</t>
  </si>
  <si>
    <t>USER HISTORY SPRINT  04</t>
  </si>
  <si>
    <t>Definição do product backlog</t>
  </si>
  <si>
    <t>Definição do planejamento das sprints</t>
  </si>
  <si>
    <t xml:space="preserve">Modelo de caso de uso </t>
  </si>
  <si>
    <t xml:space="preserve">Diagrama de caso de uso </t>
  </si>
  <si>
    <t xml:space="preserve">Documentação do diagrama de caso de uso </t>
  </si>
  <si>
    <t>Protótipo visual - Figma</t>
  </si>
  <si>
    <t>Tela Menu</t>
  </si>
  <si>
    <t>Tela de Login</t>
  </si>
  <si>
    <t>Tela de visualização de projeto</t>
  </si>
  <si>
    <t>Tela de filtragem e categorias</t>
  </si>
  <si>
    <t>GIF do protótipo - Figma</t>
  </si>
  <si>
    <t>GIF- Tela Menu</t>
  </si>
  <si>
    <t>GIF- Tela de Login</t>
  </si>
  <si>
    <t>GIF- Tela de visualização de projeto</t>
  </si>
  <si>
    <t>GIF- Tela de filtragem e categorias</t>
  </si>
  <si>
    <t xml:space="preserve">Estruturação do banco de dados </t>
  </si>
  <si>
    <t>Criação das tabelas</t>
  </si>
  <si>
    <t>Criação das storage procedures</t>
  </si>
  <si>
    <t>Adição dos dados prévios</t>
  </si>
  <si>
    <t xml:space="preserve">Codificação do banco de dados </t>
  </si>
  <si>
    <t>ANÁLISE DOS DADOS</t>
  </si>
  <si>
    <t>Quantidade por Status.</t>
  </si>
  <si>
    <t>Quantidade de horas por pessoa.</t>
  </si>
  <si>
    <t>Quantidade de horas por mês.</t>
  </si>
  <si>
    <t>Dicionário de dados</t>
  </si>
  <si>
    <t xml:space="preserve">Documentação das tabelas </t>
  </si>
  <si>
    <t xml:space="preserve">Documentação das storages procedures </t>
  </si>
  <si>
    <t xml:space="preserve">Conexão com banco de dados- CRUD </t>
  </si>
  <si>
    <t>Criação da funcionalidade- Criar (Create)</t>
  </si>
  <si>
    <t>Criação da funcionalidade- Ler (Read)</t>
  </si>
  <si>
    <t>Criação da funcionalidade- Atualizar (Update)</t>
  </si>
  <si>
    <t>Criação da funcionalidade- Deletar (Delete)</t>
  </si>
  <si>
    <t>Quantidade de horas por ano.</t>
  </si>
  <si>
    <t>Quantidade de horas por projeto.</t>
  </si>
  <si>
    <t>Porcentagem de dedicação de cada integrante da equipe por projeto.</t>
  </si>
  <si>
    <t>Quantidade de tasks em aberto.</t>
  </si>
  <si>
    <t xml:space="preserve">Eu COMO usuário, DESEJO a definição do product backlog, PARA a listagem das funcionalidades do sistema. </t>
  </si>
  <si>
    <t xml:space="preserve">Eu COMO usuário, DESEJO o planejamento das sprints, PARA visualizar o ciclo de desenvolvimento. </t>
  </si>
  <si>
    <t>Eu COMO usuário, DESEJO uma ilustração das funcionalidades do sistema, PARA visualizá-lo como um mapa mental.</t>
  </si>
  <si>
    <t xml:space="preserve">Eu COMO usuário, DESEJO um diagrama de caso de uso, PARA visualização das funcionalidades do sistema.  </t>
  </si>
  <si>
    <t>Eu COMO usuário, DESEJO a documentação do diagrama de caso de uso, PARA a definição das funcionalidades.</t>
  </si>
  <si>
    <t>Eu COMO usuário, DESEJO um protótipo visual, PARA ter uma prévia do produto.</t>
  </si>
  <si>
    <t xml:space="preserve">Eu COMO usuário, DESEJO a prototipação da tela de menu, PARA ter acesso as funcionalidades do sistema. </t>
  </si>
  <si>
    <t xml:space="preserve">Eu COMO usuário, DESEJO a prototipação da tela de login, PARA acessar o sistema. </t>
  </si>
  <si>
    <t xml:space="preserve">Eu COMO usuário, DESEJO uma prototipação da tela de visualização de projeto, PARA acessar os detalhes de cada projeto. </t>
  </si>
  <si>
    <t xml:space="preserve">Eu COMO usuário, DESEJO uma tela de pesquisa e filtragem de categorias, PARA acessar detalhes dos dados do sistema. </t>
  </si>
  <si>
    <t xml:space="preserve">Eu COMO usuário, DESEJO um GIF da tela de menu, PARA visualização animada do menu.  </t>
  </si>
  <si>
    <t xml:space="preserve">Eu COMO usuário, DESEJO um GIF da tela de login, PARA visualização animada do login.  </t>
  </si>
  <si>
    <t>Eu COMO usuário, DESEJO um GIF da tela de visualização de projeto, PARA visualização animada dos projetos.</t>
  </si>
  <si>
    <t xml:space="preserve">Eu COMO usuário, DESEJO um GIF da tela de filtragem e categorias, PARA visualização animada da pesquisa. </t>
  </si>
  <si>
    <t>FUNCIONALIDADE</t>
  </si>
  <si>
    <t>0.1</t>
  </si>
  <si>
    <t>3.1</t>
  </si>
  <si>
    <t>3.2</t>
  </si>
  <si>
    <t>4.1</t>
  </si>
  <si>
    <t>4.2</t>
  </si>
  <si>
    <t>4.3</t>
  </si>
  <si>
    <t>4.4</t>
  </si>
  <si>
    <t>6.1</t>
  </si>
  <si>
    <t>6.2</t>
  </si>
  <si>
    <t>6.3</t>
  </si>
  <si>
    <t>6.4</t>
  </si>
  <si>
    <t xml:space="preserve">Eu COMO usuário, DESEJO ter a relação dos dados ou informações especifícas PARA melhor estruturação do banco de dados pois assim farei  manipulações/remanejamentos para finalização correta do projeto. </t>
  </si>
  <si>
    <t xml:space="preserve">Eu COMO usuário, DESEJO a criação das tabelas que compõem o banco de dados, PARA o armazenamento dos dados. </t>
  </si>
  <si>
    <t>Eu COMO usuário, DESEJO a criação das storage procedures que compõem o banco de dados, PARA a manipulação dos dados.</t>
  </si>
  <si>
    <t>Eu COMO usuário, DESEJO a implementação dos dados em arquivo JSON fornecidos PARA o teste funcional do banco de dados.</t>
  </si>
  <si>
    <t xml:space="preserve">Eu COMO usuário, DESEJO a criação de um banco de dados, PARA o armazanamento dos dados. </t>
  </si>
  <si>
    <t xml:space="preserve">Eu COMO usuário, DESEJO filtrar informações específicas PARA visualizar o andamento do projeto em tempo real. </t>
  </si>
  <si>
    <t xml:space="preserve">Eu COMO usuário, DESEJO visualizar os status atuais dos projetos, PARA auxiliar na tomada de decisão. </t>
  </si>
  <si>
    <t xml:space="preserve">Eu COMO usuário, DESEJO visualizar as horas trabalhadas por pessoa, PARA administração de  cada projeto. </t>
  </si>
  <si>
    <t xml:space="preserve">Eu COMO usuário, DESEJO visualizar a quantidade de horas mensais gastas em cada projeto, PARA auxiliar na administração de tempo dedicado em cada projeto.  </t>
  </si>
  <si>
    <t>Eu COMO usuário, DESEJO a documentação do banco de dados, PARA ter fácil acesso as configurações do banco.</t>
  </si>
  <si>
    <t xml:space="preserve">Eu COMO usuário, DESEJO um descritivo das tabelas, PARA consulta. </t>
  </si>
  <si>
    <t xml:space="preserve">Eu COMO usuário, DESEJO um descritivo das storage procedures, PARA consulta. </t>
  </si>
  <si>
    <t>Eu COMO usuário, DESEJO visualizar as horas anuais gastas nos projetos, PARA sugerir tempo gasto em projetos futuros de mesmo complexidade.</t>
  </si>
  <si>
    <t xml:space="preserve">Eu COMO usuário, DESEJO visualizar a quantidade de horas por projeto, PARA obter desta forma um parâmetro em projetos futuros com perfis semelhantes. </t>
  </si>
  <si>
    <t xml:space="preserve">Eu COMO usuário, DESEJO visualizar as tasks em aberto, PARA gerenciamento das tarefas de cada projeto. </t>
  </si>
  <si>
    <t>1.1</t>
  </si>
  <si>
    <t>1.2</t>
  </si>
  <si>
    <t>1.3</t>
  </si>
  <si>
    <t>1.4</t>
  </si>
  <si>
    <t>7.1</t>
  </si>
  <si>
    <t>7.2</t>
  </si>
  <si>
    <t>7.3</t>
  </si>
  <si>
    <t>2.1</t>
  </si>
  <si>
    <t>2.2</t>
  </si>
  <si>
    <t>5.1</t>
  </si>
  <si>
    <t>5.2</t>
  </si>
  <si>
    <t>7.4</t>
  </si>
  <si>
    <t>7.5</t>
  </si>
  <si>
    <t>7.6</t>
  </si>
  <si>
    <t>7.7</t>
  </si>
  <si>
    <t>Equipe</t>
  </si>
  <si>
    <t>Patrícia e Laroy</t>
  </si>
  <si>
    <t>Thiago e Leonardo</t>
  </si>
  <si>
    <t>Daniela e Matheus</t>
  </si>
  <si>
    <t>Letícia e Guilherme</t>
  </si>
  <si>
    <t>USER STORY</t>
  </si>
  <si>
    <t>CATEGORIA</t>
  </si>
  <si>
    <t>Categoria</t>
  </si>
  <si>
    <t>Essencial</t>
  </si>
  <si>
    <t>Importante</t>
  </si>
  <si>
    <t>Desejável</t>
  </si>
  <si>
    <t>alta</t>
  </si>
  <si>
    <t>média</t>
  </si>
  <si>
    <t>baixa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</si>
  <si>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</si>
  <si>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</si>
  <si>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</si>
  <si>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</si>
  <si>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</si>
  <si>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</si>
  <si>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</si>
  <si>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</si>
  <si>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</si>
  <si>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</si>
  <si>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DATA INÍCIO</t>
  </si>
  <si>
    <t>DATA TÉRMINO</t>
  </si>
  <si>
    <t>Ideal (h)</t>
  </si>
  <si>
    <t>Trabalhado (h)</t>
  </si>
  <si>
    <t>Real (h)</t>
  </si>
  <si>
    <t>INÍCIO</t>
  </si>
  <si>
    <t>TÉRMINO</t>
  </si>
  <si>
    <t>Data Atual</t>
  </si>
  <si>
    <t>PORCENTAGEM</t>
  </si>
  <si>
    <t>Matheus, Sarah
 e Daniela</t>
  </si>
  <si>
    <t>Protótipo do sistema pelo Figma; Modelo de Caso de Uso (diagrama e documentação); e planejamento e organização do projeto.</t>
  </si>
  <si>
    <t xml:space="preserve">Eu COMO usuário, DESEJO os testes e a validação do sistema PARA verificar a qualidade. </t>
  </si>
  <si>
    <t xml:space="preserve">Testes e Validação </t>
  </si>
  <si>
    <t xml:space="preserve">Testes de Caixa Branca </t>
  </si>
  <si>
    <t xml:space="preserve">Testes de Caixa Preta </t>
  </si>
  <si>
    <t xml:space="preserve">Verificação do layout </t>
  </si>
  <si>
    <t xml:space="preserve">Verificação da tela Menu </t>
  </si>
  <si>
    <t>Verificação da tela Login</t>
  </si>
  <si>
    <t>Verificação da tela Visualização de projeto</t>
  </si>
  <si>
    <t>Verificação da tela de filtragem e categorias</t>
  </si>
  <si>
    <t>8.1</t>
  </si>
  <si>
    <t>8.2</t>
  </si>
  <si>
    <t xml:space="preserve">Eu COMO usuário DESEJO os testes de caixa branca PARA a validação do sistema como o desenvolvedor codificou. </t>
  </si>
  <si>
    <t xml:space="preserve">Eu COMO usuário DESEJO os testes de caixa preta PARA a validação do sistema como o usuário vai utilizar o sistema. </t>
  </si>
  <si>
    <t>9.1</t>
  </si>
  <si>
    <t>9.2</t>
  </si>
  <si>
    <t>9.3</t>
  </si>
  <si>
    <t>9.4</t>
  </si>
  <si>
    <t xml:space="preserve">Eu COMO usuário, DESEJO a verificação da tela de menu, PARA correção de possíveis distorções. </t>
  </si>
  <si>
    <t xml:space="preserve">Eu COMO usuário DESEJO a verificação do layout, PARA validação da aparência do sistema. </t>
  </si>
  <si>
    <t xml:space="preserve">Eu COMO usuário, DESEJO a verificação da tela de login, PARA correção de possíveis distorções. </t>
  </si>
  <si>
    <t xml:space="preserve">Eu COMO usuário, DESEJO a verificação da tela de visualização de projeto, PARA correção de possíveis distorções. </t>
  </si>
  <si>
    <t xml:space="preserve">Eu COMO usuário, DESEJO a verificação da tela de filtragem e categorias, PARA correção de possíveis distorções. </t>
  </si>
  <si>
    <t>Front-end</t>
  </si>
  <si>
    <t>Identidade Visual</t>
  </si>
  <si>
    <t>Tela de Menu</t>
  </si>
  <si>
    <t>Tela de Pesquisa</t>
  </si>
  <si>
    <t>Tela de Projeto</t>
  </si>
  <si>
    <t>Back-end</t>
  </si>
  <si>
    <t>Classe Principal</t>
  </si>
  <si>
    <t>Classe de Conexão com o Banco de Dados</t>
  </si>
  <si>
    <t>Classe de Navegação</t>
  </si>
  <si>
    <t>Classe de Pesquisa</t>
  </si>
  <si>
    <t>Desenvolvimento do Sistema</t>
  </si>
  <si>
    <t>Porcentagem de dedicação do funcionário por projeto.</t>
  </si>
  <si>
    <t>5.1.1</t>
  </si>
  <si>
    <t>5.1.2</t>
  </si>
  <si>
    <t>5.1.3</t>
  </si>
  <si>
    <t>5.1.4</t>
  </si>
  <si>
    <t>5.2.1</t>
  </si>
  <si>
    <t>5.2.2</t>
  </si>
  <si>
    <t>5.2.3</t>
  </si>
  <si>
    <t>5.2.4</t>
  </si>
  <si>
    <t>Análise dos Dados</t>
  </si>
  <si>
    <t xml:space="preserve">Eu COMO usuário, DESEJO visualizar a porcentagem de dedicação de cada funcionário, PARA obter um parâmetro na avaliação individual. </t>
  </si>
  <si>
    <t>Eu COMO P.O. DESEJO criação e documentação da Tela de Pesquisa, PARA a interação com a aba de pesquisa e filtros</t>
  </si>
  <si>
    <t>Eu COMO P.O. DESEJO a criação e documentação da classe principal do sistema, PARA interligar todas as telas com suas funcionalidades</t>
  </si>
  <si>
    <t>Eu COMO P.O. DESEJO a criação e documentação da classe que se conecte ao banco de dados, PARA a interação com os dados do sistema</t>
  </si>
  <si>
    <t>Eu COMO P.O. DESEJO a criação e documentação da classe de navegação, PARA transitar as telas do sistema</t>
  </si>
  <si>
    <t>Eu COMO P.O. DESEJO a criação e documentação da classe de pesquisa, PARA obter os dados referentes à pesquisa e filtros</t>
  </si>
  <si>
    <t>US103</t>
  </si>
  <si>
    <t>US203</t>
  </si>
  <si>
    <t>US303</t>
  </si>
  <si>
    <t>US403</t>
  </si>
  <si>
    <t>US503</t>
  </si>
  <si>
    <t>US603</t>
  </si>
  <si>
    <t>US703</t>
  </si>
  <si>
    <t>US803</t>
  </si>
  <si>
    <t>US903</t>
  </si>
  <si>
    <t>US1003</t>
  </si>
  <si>
    <t>US1103</t>
  </si>
  <si>
    <t>US1203</t>
  </si>
  <si>
    <t>US1303</t>
  </si>
  <si>
    <t>US1403</t>
  </si>
  <si>
    <t>US1503</t>
  </si>
  <si>
    <t>ID</t>
  </si>
  <si>
    <t xml:space="preserve">SPRINT </t>
  </si>
  <si>
    <t xml:space="preserve">USER STORY </t>
  </si>
  <si>
    <t xml:space="preserve">ATIVIDADE </t>
  </si>
  <si>
    <t xml:space="preserve">PLANNING POKER </t>
  </si>
  <si>
    <t>Eu COMO P.O. DESEJO a criação e documentação da classe de pesquisa, PARA obter os dados referentes à pesquisa e filtros.</t>
  </si>
  <si>
    <t>Eu COMO P.O. DESEJO o desenvolvimento do sistema em questão, PARA atender as necessidades do usuário.</t>
  </si>
  <si>
    <t>Eu COMO P.O. DESEJO o desenvolvimento da parte visual do sistema, PARA a interação do usuário com a aplicação.</t>
  </si>
  <si>
    <t>Eu COMO P.O. DESEJO a criação e documentação da identidade visual do sistema, PARA a caracterização e melhor estética ao sistema.</t>
  </si>
  <si>
    <t>Eu COMO P.O. DESEJO criação e documentação da Tela de Menu, PARA a interação com o menu principal da aplicação.</t>
  </si>
  <si>
    <t>Eu COMO P.O. DESEJO criação e documentação da Tela de Projeto, PARA a visualização dos dados de um projeto.</t>
  </si>
  <si>
    <t>Eu COMO P.O. DESEJO o desenvolvimento da codificação do sistema, PARA atender as necessidades do usuário.</t>
  </si>
  <si>
    <t>Eu COMO P.O. DESEJO criação e documentação da Tela de Pesquisa, PARA a interação com a aba de pesquisa e filtros.</t>
  </si>
  <si>
    <t>Eu COMO P.O. DESEJO a criação e documentação da classe principal do sistema, PARA interligar todas as telas com suas funcionalidades.</t>
  </si>
  <si>
    <t>Eu COMO P.O. DESEJO a criação e documentação da classe que se conecte ao banco de dados, PARA a interação com os dados do sistema.</t>
  </si>
  <si>
    <t>Eu COMO P.O. DESEJO a criação e documentação da classe de navegação, PARA transitar as telas do sistema.</t>
  </si>
  <si>
    <t>1/100</t>
  </si>
  <si>
    <t>2/100</t>
  </si>
  <si>
    <t>3/100</t>
  </si>
  <si>
    <t>5/100</t>
  </si>
  <si>
    <t>8/100</t>
  </si>
  <si>
    <t>13/100</t>
  </si>
  <si>
    <t xml:space="preserve">Laroy e Sarah </t>
  </si>
  <si>
    <t xml:space="preserve">Matheus, Guilherme e Letícia </t>
  </si>
  <si>
    <t>Patrícia, Leonardo, Thiago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</si>
</sst>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Arial"/>
      <family val="2"/>
    </font>
    <font>
      <b/>
      <sz val="16"/>
      <color rgb="FF996600"/>
      <name val="Arial"/>
      <family val="2"/>
    </font>
    <font>
      <sz val="14"/>
      <color theme="1"/>
      <name val="Arial"/>
      <family val="2"/>
    </font>
    <font>
      <i/>
      <sz val="11"/>
      <color theme="1"/>
      <name val="Arial"/>
      <family val="2"/>
    </font>
    <font>
      <b/>
      <sz val="14"/>
      <color theme="1"/>
      <name val="Arial"/>
      <family val="2"/>
    </font>
    <font>
      <b/>
      <sz val="22"/>
      <color theme="1"/>
      <name val="Arial"/>
      <family val="2"/>
    </font>
    <font>
      <b/>
      <sz val="12"/>
      <color theme="0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2"/>
      <color rgb="FF996600"/>
      <name val="Arial"/>
      <family val="2"/>
    </font>
    <font>
      <sz val="16"/>
      <color theme="1"/>
      <name val="Arial"/>
      <family val="2"/>
    </font>
    <font>
      <sz val="16"/>
      <color rgb="FFFF0000"/>
      <name val="Arial"/>
      <family val="2"/>
    </font>
    <font>
      <sz val="16"/>
      <color rgb="FFFFFF00"/>
      <name val="Arial"/>
      <family val="2"/>
    </font>
    <font>
      <sz val="16"/>
      <color rgb="FF00B050"/>
      <name val="Arial"/>
      <family val="2"/>
    </font>
    <font>
      <sz val="16"/>
      <color rgb="FF0070C0"/>
      <name val="Arial"/>
      <family val="2"/>
    </font>
    <font>
      <b/>
      <sz val="12"/>
      <color rgb="FF00B050"/>
      <name val="Arial"/>
      <family val="2"/>
    </font>
    <font>
      <b/>
      <sz val="12"/>
      <color rgb="FF0070C0"/>
      <name val="Arial"/>
      <family val="2"/>
    </font>
    <font>
      <b/>
      <sz val="16"/>
      <color rgb="FF0070C0"/>
      <name val="Arial"/>
      <family val="2"/>
    </font>
    <font>
      <b/>
      <sz val="16"/>
      <color rgb="FF00B050"/>
      <name val="Arial"/>
      <family val="2"/>
    </font>
    <font>
      <b/>
      <sz val="12"/>
      <color rgb="FFFF6600"/>
      <name val="Arial"/>
      <family val="2"/>
    </font>
    <font>
      <b/>
      <sz val="16"/>
      <color rgb="FFFF6600"/>
      <name val="Arial"/>
      <family val="2"/>
    </font>
    <font>
      <sz val="16"/>
      <color rgb="FFFF6600"/>
      <name val="Arial"/>
      <family val="2"/>
    </font>
    <font>
      <b/>
      <sz val="11"/>
      <name val="Arial"/>
      <family val="2"/>
    </font>
    <font>
      <b/>
      <sz val="11"/>
      <color rgb="FF0070C0"/>
      <name val="Arial"/>
      <family val="2"/>
    </font>
    <font>
      <b/>
      <sz val="12"/>
      <color theme="2" tint="-0.499984740745262"/>
      <name val="Arial"/>
      <family val="2"/>
    </font>
    <font>
      <b/>
      <sz val="16"/>
      <color theme="2" tint="-0.499984740745262"/>
      <name val="Arial"/>
      <family val="2"/>
    </font>
    <font>
      <b/>
      <sz val="12"/>
      <color rgb="FFFFC000"/>
      <name val="Arial"/>
      <family val="2"/>
    </font>
    <font>
      <b/>
      <sz val="16"/>
      <color rgb="FFFFC000"/>
      <name val="Arial"/>
      <family val="2"/>
    </font>
    <font>
      <b/>
      <sz val="12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sz val="16"/>
      <color theme="8" tint="-0.249977111117893"/>
      <name val="Arial"/>
      <family val="2"/>
    </font>
    <font>
      <sz val="16"/>
      <color rgb="FFFFC000"/>
      <name val="Arial"/>
      <family val="2"/>
    </font>
    <font>
      <b/>
      <sz val="12"/>
      <color theme="9" tint="-0.499984740745262"/>
      <name val="Arial"/>
      <family val="2"/>
    </font>
    <font>
      <sz val="16"/>
      <color theme="9" tint="-0.499984740745262"/>
      <name val="Arial"/>
      <family val="2"/>
    </font>
    <font>
      <b/>
      <sz val="12"/>
      <color theme="7" tint="-0.499984740745262"/>
      <name val="Arial"/>
      <family val="2"/>
    </font>
    <font>
      <sz val="16"/>
      <color theme="7" tint="-0.499984740745262"/>
      <name val="Arial"/>
      <family val="2"/>
    </font>
    <font>
      <b/>
      <sz val="12"/>
      <color theme="9" tint="-0.249977111117893"/>
      <name val="Arial"/>
      <family val="2"/>
    </font>
    <font>
      <sz val="16"/>
      <color theme="9" tint="-0.249977111117893"/>
      <name val="Arial"/>
      <family val="2"/>
    </font>
    <font>
      <b/>
      <sz val="12"/>
      <color theme="7" tint="0.39997558519241921"/>
      <name val="Arial"/>
      <family val="2"/>
    </font>
    <font>
      <sz val="16"/>
      <color theme="7" tint="0.39997558519241921"/>
      <name val="Arial"/>
      <family val="2"/>
    </font>
    <font>
      <b/>
      <sz val="12"/>
      <color theme="5" tint="-0.249977111117893"/>
      <name val="Arial"/>
      <family val="2"/>
    </font>
    <font>
      <sz val="16"/>
      <color theme="5" tint="-0.249977111117893"/>
      <name val="Arial"/>
      <family val="2"/>
    </font>
    <font>
      <b/>
      <sz val="12"/>
      <color theme="5" tint="0.39997558519241921"/>
      <name val="Arial"/>
      <family val="2"/>
    </font>
    <font>
      <sz val="16"/>
      <color theme="5" tint="0.39997558519241921"/>
      <name val="Arial"/>
      <family val="2"/>
    </font>
    <font>
      <sz val="12"/>
      <color theme="1"/>
      <name val="Arial"/>
      <family val="2"/>
    </font>
    <font>
      <b/>
      <sz val="11"/>
      <color theme="0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i/>
      <sz val="20"/>
      <color rgb="FFFFC000"/>
      <name val="Arial"/>
      <family val="2"/>
    </font>
    <font>
      <b/>
      <sz val="10"/>
      <color rgb="FFFF6600"/>
      <name val="Times New Roman"/>
      <family val="1"/>
    </font>
    <font>
      <b/>
      <sz val="9"/>
      <color rgb="FFFF6600"/>
      <name val="Times New Roman"/>
      <family val="1"/>
    </font>
    <font>
      <b/>
      <sz val="12"/>
      <color rgb="FF002060"/>
      <name val="Arial"/>
      <family val="2"/>
    </font>
    <font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1" fillId="0" borderId="0" applyFont="0" applyFill="0" applyBorder="0" applyAlignment="0" applyProtection="0"/>
  </cellStyleXfs>
  <cellXfs count="187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2" borderId="1" xfId="0" applyFont="1" applyFill="1" applyBorder="1"/>
    <xf numFmtId="0" fontId="2" fillId="0" borderId="1" xfId="0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0" xfId="0" applyFont="1" applyFill="1" applyAlignment="1"/>
    <xf numFmtId="0" fontId="2" fillId="3" borderId="0" xfId="0" applyFont="1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2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2" fillId="3" borderId="0" xfId="0" applyFont="1" applyFill="1"/>
    <xf numFmtId="0" fontId="2" fillId="4" borderId="0" xfId="0" applyFont="1" applyFill="1"/>
    <xf numFmtId="0" fontId="2" fillId="4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/>
    <xf numFmtId="0" fontId="1" fillId="0" borderId="5" xfId="0" applyFont="1" applyBorder="1" applyAlignment="1">
      <alignment horizontal="right" vertical="center"/>
    </xf>
    <xf numFmtId="0" fontId="2" fillId="0" borderId="6" xfId="0" applyFont="1" applyBorder="1"/>
    <xf numFmtId="0" fontId="1" fillId="0" borderId="7" xfId="0" applyFont="1" applyBorder="1" applyAlignment="1">
      <alignment horizontal="left" vertical="center"/>
    </xf>
    <xf numFmtId="0" fontId="2" fillId="0" borderId="8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5" xfId="0" applyFont="1" applyBorder="1"/>
    <xf numFmtId="0" fontId="2" fillId="0" borderId="7" xfId="0" applyFont="1" applyBorder="1"/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0" fontId="1" fillId="0" borderId="8" xfId="0" applyFont="1" applyBorder="1" applyAlignment="1">
      <alignment horizontal="right" vertical="center"/>
    </xf>
    <xf numFmtId="0" fontId="1" fillId="0" borderId="9" xfId="0" applyFont="1" applyBorder="1" applyAlignment="1">
      <alignment horizontal="left" vertical="center"/>
    </xf>
    <xf numFmtId="0" fontId="2" fillId="0" borderId="10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 wrapText="1"/>
    </xf>
    <xf numFmtId="0" fontId="1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13" xfId="0" applyFont="1" applyBorder="1"/>
    <xf numFmtId="0" fontId="22" fillId="0" borderId="13" xfId="0" applyFont="1" applyBorder="1"/>
    <xf numFmtId="0" fontId="1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1" fillId="0" borderId="14" xfId="0" applyFont="1" applyBorder="1"/>
    <xf numFmtId="0" fontId="28" fillId="0" borderId="0" xfId="0" applyFont="1" applyAlignment="1">
      <alignment horizontal="center" vertical="center"/>
    </xf>
    <xf numFmtId="0" fontId="29" fillId="0" borderId="13" xfId="0" applyFont="1" applyBorder="1"/>
    <xf numFmtId="0" fontId="30" fillId="0" borderId="0" xfId="0" applyFont="1" applyAlignment="1">
      <alignment horizontal="center" vertical="center"/>
    </xf>
    <xf numFmtId="0" fontId="31" fillId="0" borderId="13" xfId="0" applyFont="1" applyBorder="1"/>
    <xf numFmtId="0" fontId="32" fillId="0" borderId="0" xfId="0" applyFont="1" applyAlignment="1">
      <alignment horizontal="center" vertical="center"/>
    </xf>
    <xf numFmtId="0" fontId="33" fillId="0" borderId="13" xfId="0" applyFont="1" applyBorder="1"/>
    <xf numFmtId="0" fontId="34" fillId="0" borderId="13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13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top"/>
    </xf>
    <xf numFmtId="0" fontId="8" fillId="0" borderId="2" xfId="0" applyNumberFormat="1" applyFont="1" applyBorder="1" applyAlignment="1">
      <alignment vertical="center"/>
    </xf>
    <xf numFmtId="0" fontId="8" fillId="0" borderId="14" xfId="0" applyNumberFormat="1" applyFont="1" applyBorder="1" applyAlignment="1">
      <alignment vertical="center"/>
    </xf>
    <xf numFmtId="0" fontId="1" fillId="0" borderId="0" xfId="0" applyNumberFormat="1" applyFont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 wrapText="1"/>
    </xf>
    <xf numFmtId="0" fontId="48" fillId="0" borderId="0" xfId="0" applyNumberFormat="1" applyFont="1" applyAlignment="1">
      <alignment vertical="center"/>
    </xf>
    <xf numFmtId="0" fontId="48" fillId="0" borderId="0" xfId="0" applyNumberFormat="1" applyFont="1" applyAlignment="1">
      <alignment horizontal="left" vertical="center" wrapText="1"/>
    </xf>
    <xf numFmtId="0" fontId="48" fillId="0" borderId="0" xfId="0" applyNumberFormat="1" applyFont="1" applyBorder="1" applyAlignment="1">
      <alignment vertical="center"/>
    </xf>
    <xf numFmtId="0" fontId="48" fillId="0" borderId="0" xfId="0" applyNumberFormat="1" applyFont="1" applyBorder="1" applyAlignment="1">
      <alignment horizontal="left" vertical="center" wrapText="1"/>
    </xf>
    <xf numFmtId="0" fontId="48" fillId="0" borderId="3" xfId="0" applyNumberFormat="1" applyFont="1" applyBorder="1" applyAlignment="1">
      <alignment vertical="center"/>
    </xf>
    <xf numFmtId="0" fontId="48" fillId="0" borderId="3" xfId="0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1" fontId="48" fillId="0" borderId="0" xfId="0" applyNumberFormat="1" applyFont="1" applyAlignment="1">
      <alignment horizontal="center" vertical="center"/>
    </xf>
    <xf numFmtId="1" fontId="48" fillId="0" borderId="0" xfId="0" applyNumberFormat="1" applyFont="1" applyBorder="1" applyAlignment="1">
      <alignment horizontal="center" vertical="center"/>
    </xf>
    <xf numFmtId="1" fontId="48" fillId="0" borderId="3" xfId="0" applyNumberFormat="1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1" fontId="48" fillId="0" borderId="14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14" fontId="48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14" fontId="2" fillId="0" borderId="1" xfId="0" applyNumberFormat="1" applyFont="1" applyBorder="1" applyAlignment="1">
      <alignment vertical="center"/>
    </xf>
    <xf numFmtId="14" fontId="52" fillId="0" borderId="1" xfId="0" applyNumberFormat="1" applyFont="1" applyBorder="1" applyAlignment="1">
      <alignment vertical="center"/>
    </xf>
    <xf numFmtId="1" fontId="52" fillId="0" borderId="1" xfId="0" applyNumberFormat="1" applyFont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0" fillId="0" borderId="14" xfId="0" applyFont="1" applyBorder="1"/>
    <xf numFmtId="9" fontId="0" fillId="0" borderId="13" xfId="2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56" fillId="0" borderId="0" xfId="0" applyFont="1" applyAlignment="1">
      <alignment horizontal="center" vertical="center"/>
    </xf>
    <xf numFmtId="0" fontId="56" fillId="0" borderId="0" xfId="0" applyFont="1" applyAlignment="1">
      <alignment horizontal="left" vertical="center" wrapText="1"/>
    </xf>
    <xf numFmtId="14" fontId="56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wrapText="1"/>
    </xf>
    <xf numFmtId="0" fontId="56" fillId="0" borderId="0" xfId="0" applyFont="1" applyAlignment="1">
      <alignment horizontal="center" vertical="center" wrapText="1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center"/>
    </xf>
    <xf numFmtId="0" fontId="52" fillId="0" borderId="1" xfId="0" applyFont="1" applyBorder="1" applyAlignment="1">
      <alignment vertical="center"/>
    </xf>
    <xf numFmtId="14" fontId="57" fillId="0" borderId="1" xfId="0" applyNumberFormat="1" applyFont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0" xfId="0" applyBorder="1"/>
    <xf numFmtId="0" fontId="48" fillId="0" borderId="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wrapText="1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8" fillId="2" borderId="18" xfId="0" applyFont="1" applyFill="1" applyBorder="1" applyAlignment="1">
      <alignment horizontal="left" vertical="center"/>
    </xf>
    <xf numFmtId="0" fontId="8" fillId="2" borderId="19" xfId="0" applyFont="1" applyFill="1" applyBorder="1" applyAlignment="1">
      <alignment horizontal="left" vertical="center"/>
    </xf>
    <xf numFmtId="0" fontId="53" fillId="3" borderId="0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textRotation="180"/>
    </xf>
    <xf numFmtId="0" fontId="1" fillId="0" borderId="12" xfId="0" applyFont="1" applyBorder="1" applyAlignment="1">
      <alignment horizontal="center" vertical="center" textRotation="180"/>
    </xf>
    <xf numFmtId="0" fontId="9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6" xfId="0" applyFont="1" applyBorder="1" applyAlignment="1">
      <alignment horizontal="right" vertical="center"/>
    </xf>
    <xf numFmtId="0" fontId="1" fillId="0" borderId="7" xfId="0" applyFont="1" applyBorder="1" applyAlignment="1">
      <alignment horizontal="center" textRotation="180" wrapText="1"/>
    </xf>
    <xf numFmtId="0" fontId="1" fillId="0" borderId="9" xfId="0" applyFont="1" applyBorder="1" applyAlignment="1">
      <alignment horizontal="center" textRotation="180" wrapText="1"/>
    </xf>
    <xf numFmtId="0" fontId="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1" fillId="0" borderId="11" xfId="0" applyFont="1" applyBorder="1" applyAlignment="1">
      <alignment horizontal="right" vertical="center"/>
    </xf>
    <xf numFmtId="0" fontId="1" fillId="0" borderId="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 wrapText="1"/>
    </xf>
    <xf numFmtId="0" fontId="1" fillId="0" borderId="10" xfId="0" applyFont="1" applyBorder="1" applyAlignment="1">
      <alignment horizontal="center" vertical="center" textRotation="90" wrapText="1"/>
    </xf>
    <xf numFmtId="0" fontId="8" fillId="0" borderId="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Porcentagem" xfId="2" builtinId="5"/>
  </cellStyles>
  <dxfs count="81"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600"/>
      <color rgb="FF996600"/>
      <color rgb="FFFFFF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Gráfico BurnDown</a:t>
            </a:r>
          </a:p>
        </c:rich>
      </c:tx>
      <c:overlay val="0"/>
      <c:spPr>
        <a:solidFill>
          <a:srgbClr val="FFC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BDW!$C$8</c:f>
              <c:strCache>
                <c:ptCount val="1"/>
                <c:pt idx="0">
                  <c:v>Real (h)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BDW!$E$8:$X$8</c:f>
              <c:numCache>
                <c:formatCode>General</c:formatCode>
                <c:ptCount val="20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04-432C-99EA-6939ECE85A25}"/>
            </c:ext>
          </c:extLst>
        </c:ser>
        <c:ser>
          <c:idx val="1"/>
          <c:order val="1"/>
          <c:tx>
            <c:strRef>
              <c:f>BDW!$C$6</c:f>
              <c:strCache>
                <c:ptCount val="1"/>
                <c:pt idx="0">
                  <c:v>Ideal (h)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BDW!$E$6:$X$6</c:f>
              <c:numCache>
                <c:formatCode>0</c:formatCode>
                <c:ptCount val="20"/>
                <c:pt idx="0" formatCode="General">
                  <c:v>240</c:v>
                </c:pt>
                <c:pt idx="1">
                  <c:v>227.36842105263159</c:v>
                </c:pt>
                <c:pt idx="2">
                  <c:v>214.73684210526318</c:v>
                </c:pt>
                <c:pt idx="3">
                  <c:v>202.10526315789477</c:v>
                </c:pt>
                <c:pt idx="4">
                  <c:v>189.47368421052636</c:v>
                </c:pt>
                <c:pt idx="5">
                  <c:v>176.84210526315795</c:v>
                </c:pt>
                <c:pt idx="6">
                  <c:v>164.21052631578954</c:v>
                </c:pt>
                <c:pt idx="7">
                  <c:v>151.57894736842113</c:v>
                </c:pt>
                <c:pt idx="8">
                  <c:v>138.94736842105272</c:v>
                </c:pt>
                <c:pt idx="9">
                  <c:v>126.31578947368429</c:v>
                </c:pt>
                <c:pt idx="10">
                  <c:v>113.68421052631587</c:v>
                </c:pt>
                <c:pt idx="11">
                  <c:v>101.05263157894744</c:v>
                </c:pt>
                <c:pt idx="12">
                  <c:v>88.421052631579016</c:v>
                </c:pt>
                <c:pt idx="13">
                  <c:v>75.789473684210591</c:v>
                </c:pt>
                <c:pt idx="14">
                  <c:v>63.157894736842167</c:v>
                </c:pt>
                <c:pt idx="15">
                  <c:v>50.526315789473742</c:v>
                </c:pt>
                <c:pt idx="16">
                  <c:v>37.894736842105317</c:v>
                </c:pt>
                <c:pt idx="17">
                  <c:v>25.263157894736896</c:v>
                </c:pt>
                <c:pt idx="18">
                  <c:v>12.631578947368475</c:v>
                </c:pt>
                <c:pt idx="19">
                  <c:v>5.3290705182007514E-14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04-432C-99EA-6939ECE85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752552"/>
        <c:axId val="656754192"/>
      </c:lineChart>
      <c:catAx>
        <c:axId val="65675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4192"/>
        <c:crosses val="autoZero"/>
        <c:auto val="1"/>
        <c:lblAlgn val="ctr"/>
        <c:lblOffset val="100"/>
        <c:noMultiLvlLbl val="0"/>
      </c:catAx>
      <c:valAx>
        <c:axId val="6567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7030A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RLT!$C$30</c:f>
              <c:strCache>
                <c:ptCount val="1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045-45B9-8B88-BEFCF51DFB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045-45B9-8B88-BEFCF51DFB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045-45B9-8B88-BEFCF51DFB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045-45B9-8B88-BEFCF51DFBA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045-45B9-8B88-BEFCF51DFBA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045-45B9-8B88-BEFCF51DFBA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RLT!$D$29:$I$29</c:f>
              <c:strCache>
                <c:ptCount val="6"/>
                <c:pt idx="0">
                  <c:v>SPRINT1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RLT!$D$30:$I$30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5-4098-89E8-CFA1EFF7F17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RLT!$I$21</c:f>
              <c:strCache>
                <c:ptCount val="1"/>
                <c:pt idx="0">
                  <c:v>TESTE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9B3-41DB-A411-270E2EC37765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9B3-41DB-A411-270E2EC37765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9B3-41DB-A411-270E2EC37765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9B3-41DB-A411-270E2EC37765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9B3-41DB-A411-270E2EC37765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9B3-41DB-A411-270E2EC3776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RLT!$J$20:$O$20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RLT!$J$21:$O$21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C-4621-88B4-680699BC93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RLT!$C$11</c:f>
              <c:strCache>
                <c:ptCount val="1"/>
                <c:pt idx="0">
                  <c:v>SPRINT1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C6-42C3-A3EB-3274182377E8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C6-42C3-A3EB-3274182377E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0C6-42C3-A3EB-3274182377E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0C6-42C3-A3EB-3274182377E8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0C6-42C3-A3EB-3274182377E8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0C6-42C3-A3EB-3274182377E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RLT!$D$10:$I$10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RLT!$D$11:$I$11</c:f>
              <c:numCache>
                <c:formatCode>General</c:formatCode>
                <c:ptCount val="6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B9-426E-9A0A-7E506828BAE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RLT!$C$42:$D$42</c:f>
              <c:strCache>
                <c:ptCount val="2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A9-4CEB-925C-825116B34C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A9-4CEB-925C-825116B34C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A9-4CEB-925C-825116B34C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RLT!$E$41:$G$41</c:f>
              <c:strCache>
                <c:ptCount val="3"/>
                <c:pt idx="0">
                  <c:v>SPRINT3</c:v>
                </c:pt>
                <c:pt idx="1">
                  <c:v>PLANNING POKER</c:v>
                </c:pt>
                <c:pt idx="2">
                  <c:v>PORCENTAGEM</c:v>
                </c:pt>
              </c:strCache>
            </c:strRef>
          </c:cat>
          <c:val>
            <c:numRef>
              <c:f>RLT!$E$42:$G$42</c:f>
              <c:numCache>
                <c:formatCode>General</c:formatCode>
                <c:ptCount val="3"/>
                <c:pt idx="0">
                  <c:v>4</c:v>
                </c:pt>
                <c:pt idx="1">
                  <c:v>0</c:v>
                </c:pt>
                <c:pt idx="2" formatCode="0%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3-4A19-8FED-90643E937F5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Gráfico BurnDown Chat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139375750919151E-2"/>
          <c:y val="0.15702540805164944"/>
          <c:w val="0.91672390624374567"/>
          <c:h val="0.66516178659274727"/>
        </c:manualLayout>
      </c:layout>
      <c:lineChart>
        <c:grouping val="standard"/>
        <c:varyColors val="0"/>
        <c:ser>
          <c:idx val="2"/>
          <c:order val="0"/>
          <c:tx>
            <c:strRef>
              <c:f>'BDW 1'!$C$42</c:f>
              <c:strCache>
                <c:ptCount val="1"/>
                <c:pt idx="0">
                  <c:v>SPRINT1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4B9-41B6-B1AE-408B3545B9F8}"/>
            </c:ext>
          </c:extLst>
        </c:ser>
        <c:ser>
          <c:idx val="0"/>
          <c:order val="1"/>
          <c:tx>
            <c:strRef>
              <c:f>'BDW 1'!$D$42</c:f>
              <c:strCache>
                <c:ptCount val="1"/>
                <c:pt idx="0">
                  <c:v>Restante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1'!$E$42:$O$42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B9-41B6-B1AE-408B3545B9F8}"/>
            </c:ext>
          </c:extLst>
        </c:ser>
        <c:ser>
          <c:idx val="1"/>
          <c:order val="2"/>
          <c:tx>
            <c:strRef>
              <c:f>'BDW 1'!$D$43</c:f>
              <c:strCache>
                <c:ptCount val="1"/>
                <c:pt idx="0">
                  <c:v>Estimado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1'!$E$43:$O$43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B9-41B6-B1AE-408B3545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459968"/>
        <c:axId val="489464560"/>
      </c:lineChart>
      <c:catAx>
        <c:axId val="48945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64560"/>
        <c:crosses val="autoZero"/>
        <c:auto val="1"/>
        <c:lblAlgn val="ctr"/>
        <c:lblOffset val="100"/>
        <c:noMultiLvlLbl val="0"/>
      </c:catAx>
      <c:valAx>
        <c:axId val="4894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5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F5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A1"/><Relationship Id="rId4" Type="http://schemas.openxmlformats.org/officeDocument/2006/relationships/hyperlink" Target="#PBL!G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DLY!D5"/><Relationship Id="rId3" Type="http://schemas.openxmlformats.org/officeDocument/2006/relationships/chart" Target="../charts/chart3.xml"/><Relationship Id="rId7" Type="http://schemas.openxmlformats.org/officeDocument/2006/relationships/hyperlink" Target="#PLN!D5"/><Relationship Id="rId2" Type="http://schemas.openxmlformats.org/officeDocument/2006/relationships/chart" Target="../charts/chart2.xml"/><Relationship Id="rId1" Type="http://schemas.openxmlformats.org/officeDocument/2006/relationships/image" Target="../media/image2.jpeg"/><Relationship Id="rId6" Type="http://schemas.openxmlformats.org/officeDocument/2006/relationships/hyperlink" Target="#RLT!D5"/><Relationship Id="rId5" Type="http://schemas.openxmlformats.org/officeDocument/2006/relationships/hyperlink" Target="#BDW!D5"/><Relationship Id="rId10" Type="http://schemas.openxmlformats.org/officeDocument/2006/relationships/chart" Target="../charts/chart5.xml"/><Relationship Id="rId4" Type="http://schemas.openxmlformats.org/officeDocument/2006/relationships/hyperlink" Target="#EQP!H6"/><Relationship Id="rId9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DLY!D5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6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9523</xdr:colOff>
      <xdr:row>0</xdr:row>
      <xdr:rowOff>0</xdr:rowOff>
    </xdr:from>
    <xdr:to>
      <xdr:col>2</xdr:col>
      <xdr:colOff>655894</xdr:colOff>
      <xdr:row>0</xdr:row>
      <xdr:rowOff>882000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3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CFACAA-A4B6-4228-B6BB-3E0D19DBF888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962775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B898FC-0281-4B99-AE85-0FF60B7579FD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1076325</xdr:colOff>
      <xdr:row>1</xdr:row>
      <xdr:rowOff>209550</xdr:rowOff>
    </xdr:from>
    <xdr:to>
      <xdr:col>4</xdr:col>
      <xdr:colOff>324600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FD5EF5-D7D7-4920-B618-96A93B5A9557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4</xdr:col>
      <xdr:colOff>438150</xdr:colOff>
      <xdr:row>1</xdr:row>
      <xdr:rowOff>209550</xdr:rowOff>
    </xdr:from>
    <xdr:to>
      <xdr:col>4</xdr:col>
      <xdr:colOff>2058150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AD46AD-7E25-42A5-9C4B-0BCF1C7181F8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158250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03C526-B619-4B86-A848-6C9B8C82BC43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285750</xdr:colOff>
      <xdr:row>0</xdr:row>
      <xdr:rowOff>9525</xdr:rowOff>
    </xdr:from>
    <xdr:to>
      <xdr:col>4</xdr:col>
      <xdr:colOff>1491750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9D648AE-FB73-4F88-A23B-E02762FD7B19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28576</xdr:colOff>
      <xdr:row>0</xdr:row>
      <xdr:rowOff>9525</xdr:rowOff>
    </xdr:from>
    <xdr:to>
      <xdr:col>6</xdr:col>
      <xdr:colOff>215401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AE2A99-7D37-4591-8676-C610C1DBC1D6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619125</xdr:colOff>
      <xdr:row>1</xdr:row>
      <xdr:rowOff>209551</xdr:rowOff>
    </xdr:from>
    <xdr:to>
      <xdr:col>6</xdr:col>
      <xdr:colOff>19800</xdr:colOff>
      <xdr:row>2</xdr:row>
      <xdr:rowOff>6451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82215B-AA23-4966-A7D4-72D7B0DB80AD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6</xdr:col>
      <xdr:colOff>133350</xdr:colOff>
      <xdr:row>1</xdr:row>
      <xdr:rowOff>209550</xdr:rowOff>
    </xdr:from>
    <xdr:to>
      <xdr:col>9</xdr:col>
      <xdr:colOff>19800</xdr:colOff>
      <xdr:row>2</xdr:row>
      <xdr:rowOff>6450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C9E9785-9361-4AD3-9C1F-DAE3B6B431C9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9</xdr:col>
      <xdr:colOff>133350</xdr:colOff>
      <xdr:row>1</xdr:row>
      <xdr:rowOff>209550</xdr:rowOff>
    </xdr:from>
    <xdr:to>
      <xdr:col>12</xdr:col>
      <xdr:colOff>162675</xdr:colOff>
      <xdr:row>2</xdr:row>
      <xdr:rowOff>6450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60F0F1-21F0-4214-840B-501350B1D97D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6</xdr:col>
      <xdr:colOff>342900</xdr:colOff>
      <xdr:row>0</xdr:row>
      <xdr:rowOff>9525</xdr:rowOff>
    </xdr:from>
    <xdr:to>
      <xdr:col>8</xdr:col>
      <xdr:colOff>339225</xdr:colOff>
      <xdr:row>0</xdr:row>
      <xdr:rowOff>884325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541E139-6E04-4D7F-AD5D-BDFFAA2902A2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466725</xdr:colOff>
      <xdr:row>0</xdr:row>
      <xdr:rowOff>9525</xdr:rowOff>
    </xdr:from>
    <xdr:to>
      <xdr:col>10</xdr:col>
      <xdr:colOff>967875</xdr:colOff>
      <xdr:row>0</xdr:row>
      <xdr:rowOff>884325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748D8AE-E84F-4FF6-98ED-E26A210A9F2F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655896</xdr:colOff>
      <xdr:row>0</xdr:row>
      <xdr:rowOff>882000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1219201</xdr:colOff>
      <xdr:row>0</xdr:row>
      <xdr:rowOff>9525</xdr:rowOff>
    </xdr:from>
    <xdr:to>
      <xdr:col>3</xdr:col>
      <xdr:colOff>653551</xdr:colOff>
      <xdr:row>0</xdr:row>
      <xdr:rowOff>884325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6685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457950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571500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5</xdr:col>
      <xdr:colOff>209550</xdr:colOff>
      <xdr:row>1</xdr:row>
      <xdr:rowOff>209550</xdr:rowOff>
    </xdr:from>
    <xdr:to>
      <xdr:col>6</xdr:col>
      <xdr:colOff>972300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781050</xdr:colOff>
      <xdr:row>0</xdr:row>
      <xdr:rowOff>9525</xdr:rowOff>
    </xdr:from>
    <xdr:to>
      <xdr:col>4</xdr:col>
      <xdr:colOff>939300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D38F85-5444-453D-A7B1-35555D2B66BA}"/>
            </a:ext>
          </a:extLst>
        </xdr:cNvPr>
        <xdr:cNvSpPr/>
      </xdr:nvSpPr>
      <xdr:spPr>
        <a:xfrm>
          <a:off x="28003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19050</xdr:colOff>
      <xdr:row>0</xdr:row>
      <xdr:rowOff>9525</xdr:rowOff>
    </xdr:from>
    <xdr:to>
      <xdr:col>6</xdr:col>
      <xdr:colOff>367800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1CD695E-E9B0-4903-8A18-7A4473BEBCE7}"/>
            </a:ext>
          </a:extLst>
        </xdr:cNvPr>
        <xdr:cNvSpPr/>
      </xdr:nvSpPr>
      <xdr:spPr>
        <a:xfrm>
          <a:off x="41338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E56183-D4F7-49DD-8124-F772C3DA827A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981825</xdr:colOff>
      <xdr:row>2</xdr:row>
      <xdr:rowOff>6451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12AA637-4761-417F-B187-0D45C80816C7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3</xdr:col>
      <xdr:colOff>1095375</xdr:colOff>
      <xdr:row>1</xdr:row>
      <xdr:rowOff>209550</xdr:rowOff>
    </xdr:from>
    <xdr:to>
      <xdr:col>4</xdr:col>
      <xdr:colOff>1286625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9B955F-A05F-427E-B8E0-9136AB0A1FD1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1400175</xdr:colOff>
      <xdr:row>1</xdr:row>
      <xdr:rowOff>209550</xdr:rowOff>
    </xdr:from>
    <xdr:to>
      <xdr:col>5</xdr:col>
      <xdr:colOff>305550</xdr:colOff>
      <xdr:row>2</xdr:row>
      <xdr:rowOff>6450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5E790F-19E8-453D-9098-E073CFFAC7B2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1101225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C5C54E0-C715-400A-854B-86E5ED90B44A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1228725</xdr:colOff>
      <xdr:row>0</xdr:row>
      <xdr:rowOff>9525</xdr:rowOff>
    </xdr:from>
    <xdr:to>
      <xdr:col>4</xdr:col>
      <xdr:colOff>2434725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3036E46-4D40-4EA2-98DE-F52F547BB370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6</xdr:col>
      <xdr:colOff>419100</xdr:colOff>
      <xdr:row>0</xdr:row>
      <xdr:rowOff>276225</xdr:rowOff>
    </xdr:from>
    <xdr:to>
      <xdr:col>6</xdr:col>
      <xdr:colOff>1679100</xdr:colOff>
      <xdr:row>0</xdr:row>
      <xdr:rowOff>816225</xdr:rowOff>
    </xdr:to>
    <xdr:sp macro="[0]!excluir_registroDAILY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C97E78F-5A53-4F34-8208-6B35435B7A7D}"/>
            </a:ext>
          </a:extLst>
        </xdr:cNvPr>
        <xdr:cNvSpPr/>
      </xdr:nvSpPr>
      <xdr:spPr>
        <a:xfrm>
          <a:off x="87725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5</xdr:col>
      <xdr:colOff>1743075</xdr:colOff>
      <xdr:row>0</xdr:row>
      <xdr:rowOff>276225</xdr:rowOff>
    </xdr:from>
    <xdr:to>
      <xdr:col>6</xdr:col>
      <xdr:colOff>288450</xdr:colOff>
      <xdr:row>0</xdr:row>
      <xdr:rowOff>816225</xdr:rowOff>
    </xdr:to>
    <xdr:sp macro="[0]!adicionar_registroDAILY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E7366E0-2E5D-44EF-A3F9-0BEB5E53AF62}"/>
            </a:ext>
          </a:extLst>
        </xdr:cNvPr>
        <xdr:cNvSpPr/>
      </xdr:nvSpPr>
      <xdr:spPr>
        <a:xfrm>
          <a:off x="738187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1228726</xdr:colOff>
      <xdr:row>0</xdr:row>
      <xdr:rowOff>9525</xdr:rowOff>
    </xdr:from>
    <xdr:to>
      <xdr:col>2</xdr:col>
      <xdr:colOff>2434726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0D1DF3-BFEE-4F52-8EA5-4A55D20342A1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2</xdr:col>
      <xdr:colOff>2210550</xdr:colOff>
      <xdr:row>2</xdr:row>
      <xdr:rowOff>6451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ECCF47-148E-42A1-9A25-AE1BCFB13AB8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2</xdr:col>
      <xdr:colOff>2324100</xdr:colOff>
      <xdr:row>1</xdr:row>
      <xdr:rowOff>209550</xdr:rowOff>
    </xdr:from>
    <xdr:to>
      <xdr:col>4</xdr:col>
      <xdr:colOff>1077075</xdr:colOff>
      <xdr:row>2</xdr:row>
      <xdr:rowOff>6450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FBFD99-C926-4869-879D-549813885176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SPRINT BACKLOG</a:t>
          </a:r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1190625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2004B4-87F5-4999-9B90-AD2444BB3230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2562225</xdr:colOff>
      <xdr:row>0</xdr:row>
      <xdr:rowOff>9525</xdr:rowOff>
    </xdr:from>
    <xdr:to>
      <xdr:col>4</xdr:col>
      <xdr:colOff>901200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828FAA-A56D-4402-95F9-8BD38B1631D9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1028700</xdr:colOff>
      <xdr:row>0</xdr:row>
      <xdr:rowOff>9525</xdr:rowOff>
    </xdr:from>
    <xdr:to>
      <xdr:col>4</xdr:col>
      <xdr:colOff>2234700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B501F2-0FD3-4944-8DEA-4F8434CD7CE6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799</xdr:colOff>
      <xdr:row>1</xdr:row>
      <xdr:rowOff>1194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6</xdr:col>
      <xdr:colOff>400051</xdr:colOff>
      <xdr:row>0</xdr:row>
      <xdr:rowOff>276225</xdr:rowOff>
    </xdr:from>
    <xdr:to>
      <xdr:col>8</xdr:col>
      <xdr:colOff>31276</xdr:colOff>
      <xdr:row>0</xdr:row>
      <xdr:rowOff>816225</xdr:rowOff>
    </xdr:to>
    <xdr:sp macro="[0]!atualizar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F741CC93-B562-4C16-A2F1-2008334EA92C}"/>
            </a:ext>
          </a:extLst>
        </xdr:cNvPr>
        <xdr:cNvSpPr/>
      </xdr:nvSpPr>
      <xdr:spPr>
        <a:xfrm>
          <a:off x="7372351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647701</xdr:colOff>
      <xdr:row>0</xdr:row>
      <xdr:rowOff>9525</xdr:rowOff>
    </xdr:from>
    <xdr:to>
      <xdr:col>4</xdr:col>
      <xdr:colOff>1139326</xdr:colOff>
      <xdr:row>0</xdr:row>
      <xdr:rowOff>884325</xdr:rowOff>
    </xdr:to>
    <xdr:sp macro="" textlink="">
      <xdr:nvSpPr>
        <xdr:cNvPr id="32" name="Retângulo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D18A9F6-50AF-46A4-81F9-6622140A1430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38100</xdr:colOff>
      <xdr:row>1</xdr:row>
      <xdr:rowOff>209551</xdr:rowOff>
    </xdr:from>
    <xdr:to>
      <xdr:col>4</xdr:col>
      <xdr:colOff>943725</xdr:colOff>
      <xdr:row>2</xdr:row>
      <xdr:rowOff>6451</xdr:rowOff>
    </xdr:to>
    <xdr:sp macro="" textlink="">
      <xdr:nvSpPr>
        <xdr:cNvPr id="33" name="Retângulo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BC0D0C-C301-40F5-AA85-3A0C85BF7288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4</xdr:col>
      <xdr:colOff>1057275</xdr:colOff>
      <xdr:row>1</xdr:row>
      <xdr:rowOff>209550</xdr:rowOff>
    </xdr:from>
    <xdr:to>
      <xdr:col>4</xdr:col>
      <xdr:colOff>2677275</xdr:colOff>
      <xdr:row>2</xdr:row>
      <xdr:rowOff>6450</xdr:rowOff>
    </xdr:to>
    <xdr:sp macro="" textlink="">
      <xdr:nvSpPr>
        <xdr:cNvPr id="34" name="Retângulo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2F3C4B-C482-4A67-87FE-A767495D18C5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2790825</xdr:colOff>
      <xdr:row>1</xdr:row>
      <xdr:rowOff>233362</xdr:rowOff>
    </xdr:from>
    <xdr:to>
      <xdr:col>5</xdr:col>
      <xdr:colOff>1071562</xdr:colOff>
      <xdr:row>2</xdr:row>
      <xdr:rowOff>11906</xdr:rowOff>
    </xdr:to>
    <xdr:sp macro="" textlink="">
      <xdr:nvSpPr>
        <xdr:cNvPr id="35" name="Retângulo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76E102-FEB2-4832-BB65-92F7260727AC}"/>
            </a:ext>
          </a:extLst>
        </xdr:cNvPr>
        <xdr:cNvSpPr/>
      </xdr:nvSpPr>
      <xdr:spPr>
        <a:xfrm>
          <a:off x="4410075" y="1114425"/>
          <a:ext cx="1662112" cy="19526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1209676</xdr:colOff>
      <xdr:row>0</xdr:row>
      <xdr:rowOff>9525</xdr:rowOff>
    </xdr:from>
    <xdr:to>
      <xdr:col>4</xdr:col>
      <xdr:colOff>2415676</xdr:colOff>
      <xdr:row>0</xdr:row>
      <xdr:rowOff>884325</xdr:rowOff>
    </xdr:to>
    <xdr:sp macro="" textlink="">
      <xdr:nvSpPr>
        <xdr:cNvPr id="36" name="Retângulo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B3470B-02A2-4DB5-A776-35397F3B17F2}"/>
            </a:ext>
          </a:extLst>
        </xdr:cNvPr>
        <xdr:cNvSpPr/>
      </xdr:nvSpPr>
      <xdr:spPr>
        <a:xfrm>
          <a:off x="275272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2486026</xdr:colOff>
      <xdr:row>0</xdr:row>
      <xdr:rowOff>0</xdr:rowOff>
    </xdr:from>
    <xdr:to>
      <xdr:col>5</xdr:col>
      <xdr:colOff>310651</xdr:colOff>
      <xdr:row>0</xdr:row>
      <xdr:rowOff>874800</xdr:rowOff>
    </xdr:to>
    <xdr:sp macro="" textlink="">
      <xdr:nvSpPr>
        <xdr:cNvPr id="37" name="Retângulo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306C0EF-114F-425F-AA8E-8B5A75A0782B}"/>
            </a:ext>
          </a:extLst>
        </xdr:cNvPr>
        <xdr:cNvSpPr/>
      </xdr:nvSpPr>
      <xdr:spPr>
        <a:xfrm>
          <a:off x="4029076" y="0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2769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0B318BB-F9AC-44D8-9F56-CE79E8237B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</xdr:col>
      <xdr:colOff>76198</xdr:colOff>
      <xdr:row>13</xdr:row>
      <xdr:rowOff>142876</xdr:rowOff>
    </xdr:from>
    <xdr:to>
      <xdr:col>16</xdr:col>
      <xdr:colOff>622299</xdr:colOff>
      <xdr:row>32</xdr:row>
      <xdr:rowOff>154545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B03F289-00E1-4EA8-AB74-5152299C3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581025</xdr:colOff>
      <xdr:row>1</xdr:row>
      <xdr:rowOff>215901</xdr:rowOff>
    </xdr:from>
    <xdr:to>
      <xdr:col>4</xdr:col>
      <xdr:colOff>327775</xdr:colOff>
      <xdr:row>2</xdr:row>
      <xdr:rowOff>12801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ADFA865-69F5-4FDF-A4D4-158971E16B99}"/>
            </a:ext>
          </a:extLst>
        </xdr:cNvPr>
        <xdr:cNvSpPr/>
      </xdr:nvSpPr>
      <xdr:spPr>
        <a:xfrm>
          <a:off x="828675" y="1101726"/>
          <a:ext cx="1623175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444500</xdr:colOff>
      <xdr:row>1</xdr:row>
      <xdr:rowOff>215900</xdr:rowOff>
    </xdr:from>
    <xdr:to>
      <xdr:col>6</xdr:col>
      <xdr:colOff>372225</xdr:colOff>
      <xdr:row>2</xdr:row>
      <xdr:rowOff>12800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1CB6A2-365E-4878-9FA3-AA234FB4B5FD}"/>
            </a:ext>
          </a:extLst>
        </xdr:cNvPr>
        <xdr:cNvSpPr/>
      </xdr:nvSpPr>
      <xdr:spPr>
        <a:xfrm>
          <a:off x="2568575" y="1101725"/>
          <a:ext cx="1623175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488949</xdr:colOff>
      <xdr:row>1</xdr:row>
      <xdr:rowOff>215900</xdr:rowOff>
    </xdr:from>
    <xdr:to>
      <xdr:col>8</xdr:col>
      <xdr:colOff>610349</xdr:colOff>
      <xdr:row>2</xdr:row>
      <xdr:rowOff>12800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CFCAF5-42A6-4D20-9291-1747991334B7}"/>
            </a:ext>
          </a:extLst>
        </xdr:cNvPr>
        <xdr:cNvSpPr/>
      </xdr:nvSpPr>
      <xdr:spPr>
        <a:xfrm>
          <a:off x="4308474" y="1101725"/>
          <a:ext cx="162635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3</xdr:col>
      <xdr:colOff>285750</xdr:colOff>
      <xdr:row>0</xdr:row>
      <xdr:rowOff>9525</xdr:rowOff>
    </xdr:from>
    <xdr:to>
      <xdr:col>4</xdr:col>
      <xdr:colOff>555125</xdr:colOff>
      <xdr:row>0</xdr:row>
      <xdr:rowOff>884325</xdr:rowOff>
    </xdr:to>
    <xdr:sp macro="" textlink="">
      <xdr:nvSpPr>
        <xdr:cNvPr id="24" name="Retângul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32AC98-F635-47B9-B67B-69AC32739E78}"/>
            </a:ext>
          </a:extLst>
        </xdr:cNvPr>
        <xdr:cNvSpPr/>
      </xdr:nvSpPr>
      <xdr:spPr>
        <a:xfrm>
          <a:off x="1466850" y="9525"/>
          <a:ext cx="121235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682624</xdr:colOff>
      <xdr:row>0</xdr:row>
      <xdr:rowOff>9525</xdr:rowOff>
    </xdr:from>
    <xdr:to>
      <xdr:col>6</xdr:col>
      <xdr:colOff>196349</xdr:colOff>
      <xdr:row>0</xdr:row>
      <xdr:rowOff>884325</xdr:rowOff>
    </xdr:to>
    <xdr:sp macro="" textlink="">
      <xdr:nvSpPr>
        <xdr:cNvPr id="25" name="Retângul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A7CD52F-83A6-4B6F-9464-644A22999943}"/>
            </a:ext>
          </a:extLst>
        </xdr:cNvPr>
        <xdr:cNvSpPr/>
      </xdr:nvSpPr>
      <xdr:spPr>
        <a:xfrm>
          <a:off x="2806699" y="9525"/>
          <a:ext cx="1209175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6</xdr:col>
      <xdr:colOff>323849</xdr:colOff>
      <xdr:row>0</xdr:row>
      <xdr:rowOff>9525</xdr:rowOff>
    </xdr:from>
    <xdr:to>
      <xdr:col>8</xdr:col>
      <xdr:colOff>31249</xdr:colOff>
      <xdr:row>0</xdr:row>
      <xdr:rowOff>884325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A7CA3D-E5CF-49BE-B185-ED86CD0CB1BA}"/>
            </a:ext>
          </a:extLst>
        </xdr:cNvPr>
        <xdr:cNvSpPr/>
      </xdr:nvSpPr>
      <xdr:spPr>
        <a:xfrm>
          <a:off x="4143374" y="9525"/>
          <a:ext cx="121235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937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10</xdr:col>
      <xdr:colOff>523875</xdr:colOff>
      <xdr:row>22</xdr:row>
      <xdr:rowOff>176212</xdr:rowOff>
    </xdr:from>
    <xdr:to>
      <xdr:col>15</xdr:col>
      <xdr:colOff>5175</xdr:colOff>
      <xdr:row>36</xdr:row>
      <xdr:rowOff>113962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647700</xdr:colOff>
      <xdr:row>12</xdr:row>
      <xdr:rowOff>52387</xdr:rowOff>
    </xdr:from>
    <xdr:to>
      <xdr:col>7</xdr:col>
      <xdr:colOff>285750</xdr:colOff>
      <xdr:row>26</xdr:row>
      <xdr:rowOff>147637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1238251</xdr:colOff>
      <xdr:row>0</xdr:row>
      <xdr:rowOff>9525</xdr:rowOff>
    </xdr:from>
    <xdr:to>
      <xdr:col>4</xdr:col>
      <xdr:colOff>444001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43B038-CEDD-4B62-B43D-1E4791BBCE29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4</xdr:col>
      <xdr:colOff>210300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C4DED54-1660-4FD8-9D76-8CB9C63317DE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323850</xdr:colOff>
      <xdr:row>1</xdr:row>
      <xdr:rowOff>209550</xdr:rowOff>
    </xdr:from>
    <xdr:to>
      <xdr:col>5</xdr:col>
      <xdr:colOff>1105650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4B06803-40D6-425B-B136-4D7CF64F5D7F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0</xdr:colOff>
      <xdr:row>1</xdr:row>
      <xdr:rowOff>209550</xdr:rowOff>
    </xdr:from>
    <xdr:to>
      <xdr:col>7</xdr:col>
      <xdr:colOff>743700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0548BE-8AEF-4087-9180-08FE83A66F1B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4</xdr:col>
      <xdr:colOff>571500</xdr:colOff>
      <xdr:row>0</xdr:row>
      <xdr:rowOff>9525</xdr:rowOff>
    </xdr:from>
    <xdr:to>
      <xdr:col>5</xdr:col>
      <xdr:colOff>939300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FEA6F66-5B21-4D00-B817-A0D0B7409900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1066800</xdr:colOff>
      <xdr:row>0</xdr:row>
      <xdr:rowOff>9525</xdr:rowOff>
    </xdr:from>
    <xdr:to>
      <xdr:col>7</xdr:col>
      <xdr:colOff>177300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7CD45E-0A4E-4A61-91EE-7047BBA2BC7D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9</xdr:col>
      <xdr:colOff>285750</xdr:colOff>
      <xdr:row>3</xdr:row>
      <xdr:rowOff>33337</xdr:rowOff>
    </xdr:from>
    <xdr:to>
      <xdr:col>14</xdr:col>
      <xdr:colOff>542925</xdr:colOff>
      <xdr:row>16</xdr:row>
      <xdr:rowOff>109537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B298ADC-EFE6-4E05-B186-7DFC3FB7D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138112</xdr:colOff>
      <xdr:row>38</xdr:row>
      <xdr:rowOff>171450</xdr:rowOff>
    </xdr:from>
    <xdr:to>
      <xdr:col>15</xdr:col>
      <xdr:colOff>4762</xdr:colOff>
      <xdr:row>53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8E85CD-AA34-40EB-BA5A-45EC71728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3</xdr:col>
      <xdr:colOff>74868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0</xdr:row>
      <xdr:rowOff>9525</xdr:rowOff>
    </xdr:from>
    <xdr:to>
      <xdr:col>6</xdr:col>
      <xdr:colOff>120151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257AB8-DEFD-42E8-9515-D8C3ED5374D5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47625</xdr:colOff>
      <xdr:row>1</xdr:row>
      <xdr:rowOff>209551</xdr:rowOff>
    </xdr:from>
    <xdr:to>
      <xdr:col>5</xdr:col>
      <xdr:colOff>505575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E0A4F0-3360-46FD-93E2-ADB59C36F05D}"/>
            </a:ext>
          </a:extLst>
        </xdr:cNvPr>
        <xdr:cNvSpPr/>
      </xdr:nvSpPr>
      <xdr:spPr>
        <a:xfrm>
          <a:off x="8763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6</xdr:col>
      <xdr:colOff>38100</xdr:colOff>
      <xdr:row>1</xdr:row>
      <xdr:rowOff>209550</xdr:rowOff>
    </xdr:from>
    <xdr:to>
      <xdr:col>8</xdr:col>
      <xdr:colOff>496050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35B8C9-A730-48FF-8C89-8C0570B1C5C5}"/>
            </a:ext>
          </a:extLst>
        </xdr:cNvPr>
        <xdr:cNvSpPr/>
      </xdr:nvSpPr>
      <xdr:spPr>
        <a:xfrm>
          <a:off x="26098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9</xdr:col>
      <xdr:colOff>28575</xdr:colOff>
      <xdr:row>1</xdr:row>
      <xdr:rowOff>209550</xdr:rowOff>
    </xdr:from>
    <xdr:to>
      <xdr:col>11</xdr:col>
      <xdr:colOff>486525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31C39B-B1E6-4D78-BF51-7B7E1EF99476}"/>
            </a:ext>
          </a:extLst>
        </xdr:cNvPr>
        <xdr:cNvSpPr/>
      </xdr:nvSpPr>
      <xdr:spPr>
        <a:xfrm>
          <a:off x="434340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6</xdr:col>
      <xdr:colOff>247650</xdr:colOff>
      <xdr:row>0</xdr:row>
      <xdr:rowOff>9525</xdr:rowOff>
    </xdr:from>
    <xdr:to>
      <xdr:col>8</xdr:col>
      <xdr:colOff>291600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21C13CB-2CD6-4241-A85B-08B12AAC68A4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419100</xdr:colOff>
      <xdr:row>0</xdr:row>
      <xdr:rowOff>9525</xdr:rowOff>
    </xdr:from>
    <xdr:to>
      <xdr:col>10</xdr:col>
      <xdr:colOff>463050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E1C761-602E-4780-9DE6-5A67FC096856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46307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9526</xdr:colOff>
      <xdr:row>0</xdr:row>
      <xdr:rowOff>9525</xdr:rowOff>
    </xdr:from>
    <xdr:to>
      <xdr:col>5</xdr:col>
      <xdr:colOff>605926</xdr:colOff>
      <xdr:row>0</xdr:row>
      <xdr:rowOff>884325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A563F02-A16A-44C6-AB4F-7A69CC378925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3</xdr:col>
      <xdr:colOff>9525</xdr:colOff>
      <xdr:row>1</xdr:row>
      <xdr:rowOff>209551</xdr:rowOff>
    </xdr:from>
    <xdr:to>
      <xdr:col>5</xdr:col>
      <xdr:colOff>410325</xdr:colOff>
      <xdr:row>2</xdr:row>
      <xdr:rowOff>6451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C0828340-2F3D-4423-B94F-967DC0B908D1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5</xdr:col>
      <xdr:colOff>523875</xdr:colOff>
      <xdr:row>1</xdr:row>
      <xdr:rowOff>209550</xdr:rowOff>
    </xdr:from>
    <xdr:to>
      <xdr:col>8</xdr:col>
      <xdr:colOff>315075</xdr:colOff>
      <xdr:row>2</xdr:row>
      <xdr:rowOff>6450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B91603F-56C9-4D2D-AEE9-B2A87E697592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428625</xdr:colOff>
      <xdr:row>1</xdr:row>
      <xdr:rowOff>209550</xdr:rowOff>
    </xdr:from>
    <xdr:to>
      <xdr:col>11</xdr:col>
      <xdr:colOff>219825</xdr:colOff>
      <xdr:row>2</xdr:row>
      <xdr:rowOff>6450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E698205-AFCC-4DCC-8064-7D6173DAD96F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6</xdr:col>
      <xdr:colOff>123825</xdr:colOff>
      <xdr:row>0</xdr:row>
      <xdr:rowOff>9525</xdr:rowOff>
    </xdr:from>
    <xdr:to>
      <xdr:col>8</xdr:col>
      <xdr:colOff>110625</xdr:colOff>
      <xdr:row>0</xdr:row>
      <xdr:rowOff>884325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48BC069-8F84-4433-888B-4DC332739F87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238125</xdr:colOff>
      <xdr:row>0</xdr:row>
      <xdr:rowOff>9525</xdr:rowOff>
    </xdr:from>
    <xdr:to>
      <xdr:col>10</xdr:col>
      <xdr:colOff>224925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FFD0338-A8DB-4044-93DE-1B18EA825E2C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142875</xdr:colOff>
      <xdr:row>44</xdr:row>
      <xdr:rowOff>42862</xdr:rowOff>
    </xdr:from>
    <xdr:to>
      <xdr:col>15</xdr:col>
      <xdr:colOff>38100</xdr:colOff>
      <xdr:row>57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95C28A4-F99F-4BE4-B2A8-9716BB171E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1286625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EA008B-38F0-4015-B5B4-83732CF08FB1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3</xdr:col>
      <xdr:colOff>1400175</xdr:colOff>
      <xdr:row>1</xdr:row>
      <xdr:rowOff>209550</xdr:rowOff>
    </xdr:from>
    <xdr:to>
      <xdr:col>3</xdr:col>
      <xdr:colOff>3020175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5709EA-F8D4-4E8D-93BA-CF61520D30F0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3</xdr:col>
      <xdr:colOff>3133724</xdr:colOff>
      <xdr:row>1</xdr:row>
      <xdr:rowOff>209550</xdr:rowOff>
    </xdr:from>
    <xdr:to>
      <xdr:col>6</xdr:col>
      <xdr:colOff>172199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2A847C-A365-474A-97BC-BD65DE2CC738}"/>
            </a:ext>
          </a:extLst>
        </xdr:cNvPr>
        <xdr:cNvSpPr/>
      </xdr:nvSpPr>
      <xdr:spPr>
        <a:xfrm>
          <a:off x="4305299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11</xdr:col>
      <xdr:colOff>352425</xdr:colOff>
      <xdr:row>0</xdr:row>
      <xdr:rowOff>276225</xdr:rowOff>
    </xdr:from>
    <xdr:to>
      <xdr:col>14</xdr:col>
      <xdr:colOff>69375</xdr:colOff>
      <xdr:row>0</xdr:row>
      <xdr:rowOff>816225</xdr:rowOff>
    </xdr:to>
    <xdr:sp macro="[0]!excluir_registr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B424B74-2B3D-436C-AA5B-D703D2FEB757}"/>
            </a:ext>
          </a:extLst>
        </xdr:cNvPr>
        <xdr:cNvSpPr/>
      </xdr:nvSpPr>
      <xdr:spPr>
        <a:xfrm>
          <a:off x="8724900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9</xdr:col>
      <xdr:colOff>57150</xdr:colOff>
      <xdr:row>0</xdr:row>
      <xdr:rowOff>276225</xdr:rowOff>
    </xdr:from>
    <xdr:to>
      <xdr:col>11</xdr:col>
      <xdr:colOff>288450</xdr:colOff>
      <xdr:row>0</xdr:row>
      <xdr:rowOff>816225</xdr:rowOff>
    </xdr:to>
    <xdr:sp macro="[0]!adicionar_registr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E0BA042-43F2-40AE-92EF-A200FC5600B6}"/>
            </a:ext>
          </a:extLst>
        </xdr:cNvPr>
        <xdr:cNvSpPr/>
      </xdr:nvSpPr>
      <xdr:spPr>
        <a:xfrm>
          <a:off x="74009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133350</xdr:colOff>
      <xdr:row>0</xdr:row>
      <xdr:rowOff>285750</xdr:rowOff>
    </xdr:from>
    <xdr:to>
      <xdr:col>16</xdr:col>
      <xdr:colOff>269400</xdr:colOff>
      <xdr:row>0</xdr:row>
      <xdr:rowOff>825750</xdr:rowOff>
    </xdr:to>
    <xdr:sp macro="[0]!excluir_registro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88BC027D-8A86-45EC-96F5-7C515D019E6E}"/>
            </a:ext>
          </a:extLst>
        </xdr:cNvPr>
        <xdr:cNvSpPr/>
      </xdr:nvSpPr>
      <xdr:spPr>
        <a:xfrm>
          <a:off x="10048875" y="285750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304800</xdr:colOff>
      <xdr:row>0</xdr:row>
      <xdr:rowOff>9525</xdr:rowOff>
    </xdr:from>
    <xdr:to>
      <xdr:col>3</xdr:col>
      <xdr:colOff>1510800</xdr:colOff>
      <xdr:row>0</xdr:row>
      <xdr:rowOff>884325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FF73E19-1164-4294-976B-C05DA2B336ED}"/>
            </a:ext>
          </a:extLst>
        </xdr:cNvPr>
        <xdr:cNvSpPr/>
      </xdr:nvSpPr>
      <xdr:spPr>
        <a:xfrm>
          <a:off x="1476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1638299</xdr:colOff>
      <xdr:row>0</xdr:row>
      <xdr:rowOff>9525</xdr:rowOff>
    </xdr:from>
    <xdr:to>
      <xdr:col>3</xdr:col>
      <xdr:colOff>2844299</xdr:colOff>
      <xdr:row>0</xdr:row>
      <xdr:rowOff>884325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F88868E-6D2B-46EF-8788-B7A5BF0A4DE0}"/>
            </a:ext>
          </a:extLst>
        </xdr:cNvPr>
        <xdr:cNvSpPr/>
      </xdr:nvSpPr>
      <xdr:spPr>
        <a:xfrm>
          <a:off x="2809874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2971799</xdr:colOff>
      <xdr:row>0</xdr:row>
      <xdr:rowOff>9525</xdr:rowOff>
    </xdr:from>
    <xdr:to>
      <xdr:col>5</xdr:col>
      <xdr:colOff>62999</xdr:colOff>
      <xdr:row>0</xdr:row>
      <xdr:rowOff>884325</xdr:rowOff>
    </xdr:to>
    <xdr:sp macro="" textlink="">
      <xdr:nvSpPr>
        <xdr:cNvPr id="20" name="Retângul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206885-1141-4AC3-9623-BB0EDE12DFF9}"/>
            </a:ext>
          </a:extLst>
        </xdr:cNvPr>
        <xdr:cNvSpPr/>
      </xdr:nvSpPr>
      <xdr:spPr>
        <a:xfrm>
          <a:off x="4143374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DA SILVA" id="{7A984EE1-462A-4D6D-AB1A-D36CDBA1EF29}" userId="THIAGO DA SILVA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432EA9-3A8C-49D3-8DEC-197466DBC41A}" name="Planning" displayName="Planning" ref="C4:J16" totalsRowShown="0" headerRowDxfId="80" dataDxfId="79">
  <autoFilter ref="C4:J16" xr:uid="{A82FE305-C27C-457D-80CB-CEBBD19252AB}"/>
  <tableColumns count="8">
    <tableColumn id="1" xr3:uid="{8EC7D7B2-931E-4259-85F8-9646B745AB9C}" name="Evento" dataDxfId="78"/>
    <tableColumn id="5" xr3:uid="{34BB05BA-D959-4A7F-BC47-32E99D97A2A1}" name="Data Início" dataDxfId="77"/>
    <tableColumn id="6" xr3:uid="{E660A6CB-1441-4B4C-81C7-8504809644BD}" name="Data Entrega" dataDxfId="76"/>
    <tableColumn id="7" xr3:uid="{890A17A9-6AD0-4F52-BED9-2A7B5DEBAF0D}" name="Valor" dataDxfId="75"/>
    <tableColumn id="9" xr3:uid="{13E25AF1-BAF1-45BC-85A7-FAB976C5603B}" name="Avaliado" dataDxfId="74"/>
    <tableColumn id="4" xr3:uid="{A88EFAEF-7BE4-42C2-8B5B-375163D11085}" name="Data Planning" dataDxfId="73"/>
    <tableColumn id="2" xr3:uid="{7E93B85F-42DC-401C-BA5D-7CE07AB18502}" name="Objetivo" dataDxfId="72"/>
    <tableColumn id="3" xr3:uid="{76EBBE44-1339-4FF9-98E1-ABC83415AD2A}" name="Duração Estimado (d)" dataDxfId="71">
      <calculatedColumnFormula>SUM(Planning[[#This Row],[Data Entrega]]-Planning[[#This Row],[Data Início]])</calculatedColumnFormula>
    </tableColumn>
  </tableColumns>
  <tableStyleInfo name="TableStyleLight1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B77F8C-ECC8-42CC-9F16-CDCDAD4E4E7C}" name="DailyScrum" displayName="DailyScrum" ref="C4:G13" totalsRowShown="0" headerRowDxfId="70" dataDxfId="69">
  <autoFilter ref="C4:G13" xr:uid="{25878894-F0A8-4374-85DA-B0F17C5D212F}"/>
  <tableColumns count="5">
    <tableColumn id="1" xr3:uid="{47D702F4-B438-460A-B620-478B58CA7E9F}" name="Data de Registro" dataDxfId="68"/>
    <tableColumn id="2" xr3:uid="{AE003982-DC45-4049-B74E-CE3C3E40988D}" name="Colaborador (a)" dataDxfId="67"/>
    <tableColumn id="3" xr3:uid="{BE8558D0-C492-4781-9112-9DE7B9198122}" name="O que fez ontem?" dataDxfId="66"/>
    <tableColumn id="4" xr3:uid="{37975349-691C-4C13-8E04-242B3629FBAD}" name="O que vai fazer hoje?" dataDxfId="65"/>
    <tableColumn id="5" xr3:uid="{6376F944-27A6-4606-9497-2CF4482875B4}" name="Tem algum impedimento?" dataDxfId="64"/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62966D4-AED8-4AAD-ADA1-6927AAE190B4}" name="tbSprint1" displayName="tbSprint1" ref="C4:C19" totalsRowShown="0" headerRowDxfId="63" dataDxfId="62">
  <autoFilter ref="C4:C19" xr:uid="{9214C94E-0A94-411D-B459-00CDF3D9E8F2}"/>
  <tableColumns count="1">
    <tableColumn id="1" xr3:uid="{8FB84E9F-A3A6-4BAA-A6A4-56A19E3118E0}" name="SPRINT1" dataDxfId="61"/>
  </tableColumns>
  <tableStyleInfo name="TableStyleDark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0E3B4C-2173-49FC-B971-DA9952A86816}" name="tbSprint2" displayName="tbSprint2" ref="E4:E19" totalsRowShown="0" headerRowDxfId="60" dataDxfId="59">
  <autoFilter ref="E4:E19" xr:uid="{42E3C4CB-7C35-431C-9EAC-7AC9F81476F2}"/>
  <tableColumns count="1">
    <tableColumn id="1" xr3:uid="{C1270632-3B56-4290-92BA-093385A5E1C3}" name="SPRINT2" dataDxfId="58"/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ED932F-C438-41DC-B579-1F5DD8A228A7}" name="tbSprint3" displayName="tbSprint3" ref="G4:G19" totalsRowShown="0" headerRowDxfId="57" dataDxfId="56">
  <autoFilter ref="G4:G19" xr:uid="{4A5F5495-E36C-4391-9C8D-F7D63FB1E862}"/>
  <tableColumns count="1">
    <tableColumn id="1" xr3:uid="{09A67103-6042-4310-89F6-1319DDC9A647}" name="SPRINT3" dataDxfId="55"/>
  </tableColumns>
  <tableStyleInfo name="TableStyleDark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97E8403-77AE-4B47-8A3B-AC6945D1ACB3}" name="tbSprint4" displayName="tbSprint4" ref="I4:I19" totalsRowShown="0" headerRowDxfId="54" dataDxfId="53">
  <autoFilter ref="I4:I19" xr:uid="{311C97B3-4606-4DA7-8A29-61B0450D99A4}"/>
  <tableColumns count="1">
    <tableColumn id="1" xr3:uid="{07A1E61C-9C57-4545-AD65-F3E6A40CACE2}" name="SPRINT4" dataDxfId="52"/>
  </tableColumns>
  <tableStyleInfo name="TableStyleDark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4D39F2D-BF81-49E2-B0B1-FA89780215C4}" name="tbSprints" displayName="tbSprints" ref="K4:K8" totalsRowShown="0" headerRowDxfId="51" dataDxfId="50">
  <autoFilter ref="K4:K8" xr:uid="{FD51E08D-04DE-4772-8ABC-000C3AD5CC4F}"/>
  <tableColumns count="1">
    <tableColumn id="1" xr3:uid="{503A7A8E-44DE-48DD-B456-7933001AEFB4}" name="SPRINTS" dataDxfId="49"/>
  </tableColumns>
  <tableStyleInfo name="TableStyleDark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5B9B40D-2998-46BE-A86D-63EF5AC1C2C4}" name="SprintBackLog" displayName="SprintBackLog" ref="C4:N81" totalsRowShown="0" headerRowDxfId="39" dataDxfId="38">
  <autoFilter ref="C4:N81" xr:uid="{7E414E52-ECEF-471C-A190-F777CF080EC0}"/>
  <sortState xmlns:xlrd2="http://schemas.microsoft.com/office/spreadsheetml/2017/richdata2" ref="C5:N81">
    <sortCondition ref="L6:L81" customList="Em Atraso,Em Andamento,Em Espera,Transferido,Concluído"/>
    <sortCondition ref="D6:D81"/>
    <sortCondition ref="J6:J81" customList="Essencial,Importante,Desejável"/>
    <sortCondition ref="K6:K81" customList="Alta,Média,Baixa"/>
  </sortState>
  <tableColumns count="12">
    <tableColumn id="1" xr3:uid="{8E8068D2-921F-40B4-9AC0-7B084C20B077}" name="FUNCIONALIDADE" dataDxfId="37"/>
    <tableColumn id="2" xr3:uid="{0FF1891E-49F8-4F83-90B4-4DD8621B2A2D}" name="SPRINT" dataDxfId="36"/>
    <tableColumn id="11" xr3:uid="{8D91D91F-5C27-4A57-A886-256238468055}" name="USER STORY" dataDxfId="35"/>
    <tableColumn id="3" xr3:uid="{B8B1D3D2-AE21-4363-B2A8-9F8427329F93}" name="ATIVIDADE" dataDxfId="34"/>
    <tableColumn id="4" xr3:uid="{5DC8590F-D246-4F1F-8283-B222CB428837}" name="PLANNING POKER" dataDxfId="33"/>
    <tableColumn id="6" xr3:uid="{9D874750-3F10-463C-BC16-978EBEED4DFD}" name="DURAÇÃO" dataDxfId="32">
      <calculatedColumnFormula>IFERROR(VLOOKUP($G5,LGD!$M$5:$N$11,2,0),"")</calculatedColumnFormula>
    </tableColumn>
    <tableColumn id="7" xr3:uid="{CF284E18-51A9-4E15-A5FE-13464E1E178D}" name="COLABORADOR (A)" dataDxfId="31"/>
    <tableColumn id="12" xr3:uid="{21349AE6-2347-4DE2-B83B-D4B523FD4A2F}" name="CATEGORIA" dataDxfId="30"/>
    <tableColumn id="8" xr3:uid="{831EDC5D-70DA-4FAD-A84E-DBF1793D073C}" name="PRIORIDADE" dataDxfId="29"/>
    <tableColumn id="9" xr3:uid="{BA91E7CE-9B27-4176-AA72-7C35AE52D31B}" name="STATUS" dataDxfId="28"/>
    <tableColumn id="5" xr3:uid="{83D08DF9-9C66-4573-90AB-0E15BD6F0D54}" name="DATA INÍCIO" dataDxfId="27"/>
    <tableColumn id="10" xr3:uid="{1B91932A-9D30-48EE-B750-05F18EB46F14}" name="DATA TÉRMINO" dataDxfId="26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DCAA4E-99C9-4A1C-850A-BB82973C277D}" name="BurnDown" displayName="BurnDown" ref="C4:O40" headerRowDxfId="15" dataDxfId="14" totalsRowDxfId="13">
  <autoFilter ref="C4:O40" xr:uid="{4EB63D2E-65DF-4070-99B0-1B98D65ED825}"/>
  <sortState xmlns:xlrd2="http://schemas.microsoft.com/office/spreadsheetml/2017/richdata2" ref="C5:O10">
    <sortCondition descending="1" ref="C4:C10"/>
  </sortState>
  <tableColumns count="13">
    <tableColumn id="1" xr3:uid="{035EA971-71F9-4C8E-B869-9700076D9E37}" name="SPRINTS" totalsRowLabel="Total" dataDxfId="12"/>
    <tableColumn id="2" xr3:uid="{6DC44DEF-F161-4CCC-B272-2F8CA6C2B768}" name="ATIVIDADES" dataDxfId="11"/>
    <tableColumn id="3" xr3:uid="{F0F078A5-D31D-45C9-8B3F-6A7A7D72C375}" name="PERÍODO" dataDxfId="10">
      <calculatedColumnFormula>_xlfn.XLOOKUP(D5,SprintBackLog[ATIVIDADE],SprintBackLog[DURAÇÃO])</calculatedColumnFormula>
    </tableColumn>
    <tableColumn id="4" xr3:uid="{A0F9FBEF-6804-4F24-8D9B-BA513B2CCE54}" name="DIA 1" dataDxfId="9"/>
    <tableColumn id="5" xr3:uid="{32CF9CAC-4132-4516-96A6-5601B3E69F75}" name="DIA 2" dataDxfId="8"/>
    <tableColumn id="6" xr3:uid="{13F4CF45-261D-4632-980D-8765020BF450}" name="DIA 3" dataDxfId="7"/>
    <tableColumn id="7" xr3:uid="{48F746A1-B205-468F-8B92-2B596DD38B6B}" name="DIA 4" dataDxfId="6"/>
    <tableColumn id="8" xr3:uid="{7485B641-5DC3-49F3-8259-944A43C92398}" name="DIA 5" dataDxfId="5"/>
    <tableColumn id="9" xr3:uid="{9D8EB3AF-6DE7-4FC4-9DD9-9245C9EC1512}" name="DIA 6" dataDxfId="4"/>
    <tableColumn id="10" xr3:uid="{4E3CCF69-4C28-47A6-99E8-0970367FC169}" name="DIA 7" dataDxfId="3"/>
    <tableColumn id="11" xr3:uid="{51A5F9D3-6E45-4143-83F8-78B292517988}" name="DIA 8" dataDxfId="2"/>
    <tableColumn id="12" xr3:uid="{4F69013A-C7A0-492A-AE27-6539D3E4B2EC}" name="DIA 9" dataDxfId="1"/>
    <tableColumn id="13" xr3:uid="{1F6EAB22-7668-44F1-8D5A-A48B7B64EF09}" name="DIA 10" totalsRowFunction="sum" dataDxfId="0"/>
  </tableColumns>
  <tableStyleInfo name="TableStyleLight8" showFirstColumn="1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" dT="2021-03-07T21:28:08.71" personId="{7A984EE1-462A-4D6D-AB1A-D36CDBA1EF29}" id="{205D7420-1835-41A2-9BB4-50ACDA54FE3F}">
    <text>Fácil</text>
  </threadedComment>
  <threadedComment ref="M7" dT="2021-03-07T21:28:27.20" personId="{7A984EE1-462A-4D6D-AB1A-D36CDBA1EF29}" id="{58DB843A-91E2-47BB-8F88-220C67EA1BBF}">
    <text>Médio</text>
  </threadedComment>
  <threadedComment ref="M9" dT="2021-03-07T21:28:43.71" personId="{7A984EE1-462A-4D6D-AB1A-D36CDBA1EF29}" id="{A284F4DC-7B77-4463-A969-F949A8979C69}">
    <text>Difícil</text>
  </threadedComment>
  <threadedComment ref="M11" dT="2021-03-07T21:29:11.91" personId="{7A984EE1-462A-4D6D-AB1A-D36CDBA1EF29}" id="{AB4A96DE-EDA2-408B-A0F4-51E121EEABEF}">
    <text>Muito Difícil - Analisar de Novo.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1-03-07T21:32:15.67" personId="{7A984EE1-462A-4D6D-AB1A-D36CDBA1EF29}" id="{D472ED76-6DE6-4AE2-AC04-806A42973B63}">
    <text>PLANNING POKER baseado no USER HISTORY
1 e 2 Fácil
3 e 5 Médio
8 e 13 Difícil
20 Analisar de Novo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1-03-05T11:49:01.97" personId="{7A984EE1-462A-4D6D-AB1A-D36CDBA1EF29}" id="{F7F6414F-BCDD-4533-AB7B-804FB3DC8163}">
    <text>Define os diferentes grupos de pessoas ou organizações que uma empresa busca alcançar e servir.</text>
  </threadedComment>
  <threadedComment ref="K6" dT="2021-03-05T11:56:56.32" personId="{7A984EE1-462A-4D6D-AB1A-D36CDBA1EF29}" id="{DE94CC48-B5D1-49BA-9705-47306F083056}">
    <text>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ext>
  </threadedComment>
  <threadedComment ref="S6" dT="2021-03-05T12:40:57.23" personId="{7A984EE1-462A-4D6D-AB1A-D36CDBA1EF29}" id="{1D925809-6B42-41E4-AC78-EAE05FABB5B6}">
    <text>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ext>
  </threadedComment>
  <threadedComment ref="G15" dT="2021-03-05T11:51:03.32" personId="{7A984EE1-462A-4D6D-AB1A-D36CDBA1EF29}" id="{7D1F495F-07A1-414E-AB64-7F6B39C1F9E7}">
    <text>Descreve como uma empresa se comunica e alcança seus Clientes para entregar uma Proposta de valor.</text>
  </threadedComment>
  <threadedComment ref="P15" dT="2021-03-05T12:36:48.52" personId="{7A984EE1-462A-4D6D-AB1A-D36CDBA1EF29}" id="{49758792-2136-4031-9E7E-2D1B53E2BEF0}">
    <text>Descreve as ações mais importantes que uma empresas deve tomar para fazer funcionar seu Model.
Produção
Resulação de Problemas
Plataforma/Rede</text>
  </threadedComment>
  <threadedComment ref="H25" dT="2021-03-05T11:52:52.09" personId="{7A984EE1-462A-4D6D-AB1A-D36CDBA1EF29}" id="{D3E6DB35-1269-419A-9BFC-74AAA6D6FBBA}">
    <text>Descreve o tipo de relação que uma empresa estabelece com seus Cliente.</text>
  </threadedComment>
  <threadedComment ref="O25" dT="2021-03-05T12:38:02.33" personId="{7A984EE1-462A-4D6D-AB1A-D36CDBA1EF29}" id="{6D7847B8-695C-4447-9779-9FF662AA32D8}">
    <text>Descreve os recurso mais importantes exigidos para fazer o Modelo funcionar.
Físico
Intelectual
Humano
Financeiro</text>
  </threadedComment>
  <threadedComment ref="V26" dT="2021-03-05T12:43:21.99" personId="{7A984EE1-462A-4D6D-AB1A-D36CDBA1EF29}" id="{268F5367-9AD7-452A-9EC6-E5F8E1BE1F44}">
    <text>Descreva todos os custos envolvidos na operação do Modelo.
Direcionadas pelo custo ou pelo valor
Custos fixos
Custos variáveis</text>
  </threadedComment>
  <threadedComment ref="C28" dT="2021-03-05T12:42:14.43" personId="{7A984EE1-462A-4D6D-AB1A-D36CDBA1EF29}" id="{5F9D5B79-8501-4B3A-84EE-C31E66653B17}">
    <text>Representa o dinheiro que uma empresa gera a partir dos clientes.
Venda de recursos
Taxa de uso
Taxa de Assinatura
Alugueis/Leasing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DanielaMeirelles" TargetMode="External"/><Relationship Id="rId13" Type="http://schemas.openxmlformats.org/officeDocument/2006/relationships/hyperlink" Target="https://github.com/tsilvaBR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mailto:guilherme.silva255@fatec.sp.gov.br" TargetMode="External"/><Relationship Id="rId7" Type="http://schemas.openxmlformats.org/officeDocument/2006/relationships/hyperlink" Target="mailto:leonardo.ribeiro11@fatec.sp.gov.br" TargetMode="External"/><Relationship Id="rId12" Type="http://schemas.openxmlformats.org/officeDocument/2006/relationships/hyperlink" Target="https://github.com/Ppistache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mailto:leticia.costa12@fatec.sp.gov.br" TargetMode="External"/><Relationship Id="rId16" Type="http://schemas.openxmlformats.org/officeDocument/2006/relationships/hyperlink" Target="mailto:sarah.santana@fatec.sp.gov.br" TargetMode="External"/><Relationship Id="rId1" Type="http://schemas.openxmlformats.org/officeDocument/2006/relationships/hyperlink" Target="mailto:daniela.meirelles@fatec.sp.gov.br" TargetMode="External"/><Relationship Id="rId6" Type="http://schemas.openxmlformats.org/officeDocument/2006/relationships/hyperlink" Target="mailto:thiago.silva403@fatec.sp.gov.br" TargetMode="External"/><Relationship Id="rId11" Type="http://schemas.openxmlformats.org/officeDocument/2006/relationships/hyperlink" Target="https://github.com/MatheusEmboabaTeteu" TargetMode="External"/><Relationship Id="rId5" Type="http://schemas.openxmlformats.org/officeDocument/2006/relationships/hyperlink" Target="mailto:patricia.ciliato@fatec.sp.gov.br" TargetMode="External"/><Relationship Id="rId15" Type="http://schemas.openxmlformats.org/officeDocument/2006/relationships/hyperlink" Target="mailto:laroy.prado@fatec.sp.gov.br" TargetMode="External"/><Relationship Id="rId10" Type="http://schemas.openxmlformats.org/officeDocument/2006/relationships/hyperlink" Target="https://github.com/Glsilva" TargetMode="External"/><Relationship Id="rId4" Type="http://schemas.openxmlformats.org/officeDocument/2006/relationships/hyperlink" Target="mailto:matheus.souza130@fatec.sp.gov.br" TargetMode="External"/><Relationship Id="rId9" Type="http://schemas.openxmlformats.org/officeDocument/2006/relationships/hyperlink" Target="https://github.com/leticiasalles" TargetMode="External"/><Relationship Id="rId14" Type="http://schemas.openxmlformats.org/officeDocument/2006/relationships/hyperlink" Target="https://github.com/Leo025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8CC-3C07-438D-A636-F7296EEF347A}">
  <sheetPr codeName="Planilha2"/>
  <dimension ref="A1:M13"/>
  <sheetViews>
    <sheetView showGridLines="0" showRowColHeaders="0" workbookViewId="0">
      <pane xSplit="13" ySplit="4" topLeftCell="N6" activePane="bottomRight" state="frozen"/>
      <selection activeCell="J22" sqref="J22"/>
      <selection pane="topRight" activeCell="J22" sqref="J22"/>
      <selection pane="bottomLeft" activeCell="J22" sqref="J22"/>
      <selection pane="bottomRight" activeCell="H6" sqref="H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bestFit="1" customWidth="1"/>
    <col min="4" max="4" width="35.5703125" style="1" bestFit="1" customWidth="1"/>
    <col min="5" max="5" width="41.28515625" style="1" bestFit="1" customWidth="1"/>
    <col min="6" max="6" width="16.42578125" style="1" bestFit="1" customWidth="1"/>
    <col min="7" max="7" width="15.28515625" style="1" bestFit="1" customWidth="1"/>
    <col min="8" max="16384" width="9.140625" style="1"/>
  </cols>
  <sheetData>
    <row r="1" spans="1:13" ht="69.95" customHeight="1" x14ac:dyDescent="0.2">
      <c r="A1" s="8"/>
      <c r="B1" s="8"/>
      <c r="C1" s="8"/>
      <c r="D1" s="146"/>
      <c r="E1" s="146"/>
      <c r="F1" s="146"/>
      <c r="G1" s="146"/>
      <c r="H1" s="146"/>
      <c r="I1" s="146"/>
      <c r="J1" s="146"/>
      <c r="K1" s="146"/>
      <c r="L1" s="146"/>
      <c r="M1" s="146"/>
    </row>
    <row r="2" spans="1:13" ht="33" customHeight="1" x14ac:dyDescent="0.2">
      <c r="A2" s="7"/>
      <c r="B2" s="7"/>
      <c r="C2" s="7"/>
      <c r="D2" s="147"/>
      <c r="E2" s="147"/>
      <c r="F2" s="147"/>
      <c r="G2" s="147"/>
      <c r="H2" s="147"/>
      <c r="I2" s="147"/>
      <c r="J2" s="147"/>
      <c r="K2" s="147"/>
      <c r="L2" s="147"/>
      <c r="M2" s="147"/>
    </row>
    <row r="3" spans="1:13" ht="15.75" customHeight="1" x14ac:dyDescent="0.2"/>
    <row r="4" spans="1:13" ht="32.25" customHeight="1" x14ac:dyDescent="0.2">
      <c r="C4" s="41" t="s">
        <v>101</v>
      </c>
      <c r="D4" s="6" t="s">
        <v>2</v>
      </c>
      <c r="E4" s="6" t="s">
        <v>3</v>
      </c>
      <c r="F4" s="6" t="s">
        <v>4</v>
      </c>
      <c r="G4" s="6" t="s">
        <v>5</v>
      </c>
    </row>
    <row r="5" spans="1:13" ht="22.35" customHeight="1" x14ac:dyDescent="0.2">
      <c r="C5" s="4" t="s">
        <v>6</v>
      </c>
      <c r="D5" s="5" t="s">
        <v>7</v>
      </c>
      <c r="E5" s="5" t="s">
        <v>8</v>
      </c>
      <c r="F5" s="4" t="s">
        <v>9</v>
      </c>
      <c r="G5" s="4" t="s">
        <v>10</v>
      </c>
    </row>
    <row r="6" spans="1:13" ht="22.35" customHeight="1" x14ac:dyDescent="0.2">
      <c r="C6" s="4" t="s">
        <v>11</v>
      </c>
      <c r="D6" s="5" t="s">
        <v>12</v>
      </c>
      <c r="E6" s="5" t="s">
        <v>13</v>
      </c>
      <c r="F6" s="4" t="s">
        <v>14</v>
      </c>
      <c r="G6" s="4" t="s">
        <v>10</v>
      </c>
    </row>
    <row r="7" spans="1:13" ht="22.35" customHeight="1" x14ac:dyDescent="0.2">
      <c r="C7" s="4" t="s">
        <v>15</v>
      </c>
      <c r="D7" s="5" t="s">
        <v>16</v>
      </c>
      <c r="E7" s="5" t="s">
        <v>17</v>
      </c>
      <c r="F7" s="4" t="s">
        <v>18</v>
      </c>
      <c r="G7" s="4" t="s">
        <v>19</v>
      </c>
    </row>
    <row r="8" spans="1:13" ht="22.35" customHeight="1" x14ac:dyDescent="0.2">
      <c r="C8" s="4" t="s">
        <v>20</v>
      </c>
      <c r="D8" s="5" t="s">
        <v>21</v>
      </c>
      <c r="E8" s="5" t="s">
        <v>22</v>
      </c>
      <c r="F8" s="4" t="s">
        <v>23</v>
      </c>
      <c r="G8" s="4" t="s">
        <v>10</v>
      </c>
    </row>
    <row r="9" spans="1:13" ht="22.35" customHeight="1" x14ac:dyDescent="0.2">
      <c r="C9" s="4" t="s">
        <v>24</v>
      </c>
      <c r="D9" s="5" t="s">
        <v>25</v>
      </c>
      <c r="E9" s="5" t="s">
        <v>26</v>
      </c>
      <c r="F9" s="4" t="s">
        <v>27</v>
      </c>
      <c r="G9" s="4" t="s">
        <v>10</v>
      </c>
    </row>
    <row r="10" spans="1:13" ht="22.35" customHeight="1" x14ac:dyDescent="0.2">
      <c r="C10" s="4" t="s">
        <v>28</v>
      </c>
      <c r="D10" s="5" t="s">
        <v>29</v>
      </c>
      <c r="E10" s="5" t="s">
        <v>30</v>
      </c>
      <c r="F10" s="4" t="s">
        <v>31</v>
      </c>
      <c r="G10" s="4" t="s">
        <v>44</v>
      </c>
    </row>
    <row r="11" spans="1:13" ht="22.35" customHeight="1" x14ac:dyDescent="0.2">
      <c r="C11" s="4" t="s">
        <v>32</v>
      </c>
      <c r="D11" s="5" t="s">
        <v>33</v>
      </c>
      <c r="E11" s="5" t="s">
        <v>34</v>
      </c>
      <c r="F11" s="4" t="s">
        <v>35</v>
      </c>
      <c r="G11" s="4" t="s">
        <v>10</v>
      </c>
    </row>
    <row r="12" spans="1:13" ht="22.35" customHeight="1" x14ac:dyDescent="0.2">
      <c r="C12" s="4" t="s">
        <v>36</v>
      </c>
      <c r="D12" s="5" t="s">
        <v>134</v>
      </c>
      <c r="E12" s="5" t="s">
        <v>132</v>
      </c>
      <c r="F12" s="4" t="s">
        <v>129</v>
      </c>
      <c r="G12" s="4" t="s">
        <v>10</v>
      </c>
    </row>
    <row r="13" spans="1:13" ht="22.35" customHeight="1" x14ac:dyDescent="0.2">
      <c r="C13" s="4" t="s">
        <v>37</v>
      </c>
      <c r="D13" s="5" t="s">
        <v>131</v>
      </c>
      <c r="E13" s="5" t="s">
        <v>133</v>
      </c>
      <c r="F13" s="4" t="s">
        <v>130</v>
      </c>
      <c r="G13" s="4" t="s">
        <v>10</v>
      </c>
    </row>
  </sheetData>
  <sortState xmlns:xlrd2="http://schemas.microsoft.com/office/spreadsheetml/2017/richdata2" ref="C5:G13">
    <sortCondition ref="C4:C13"/>
  </sortState>
  <mergeCells count="2">
    <mergeCell ref="D1:M1"/>
    <mergeCell ref="D2:M2"/>
  </mergeCells>
  <hyperlinks>
    <hyperlink ref="D5" r:id="rId1" xr:uid="{29B87259-5A14-4B0E-9D8C-12C4956BF04A}"/>
    <hyperlink ref="D8" r:id="rId2" xr:uid="{7F02D4A6-6047-4F67-9A21-1602F52E7433}"/>
    <hyperlink ref="D6" r:id="rId3" xr:uid="{FC2B9D47-367B-47D5-AD3E-02510EDD4E84}"/>
    <hyperlink ref="D9" r:id="rId4" xr:uid="{5AD7186C-7CA4-4E45-A0B5-E576D7A9E371}"/>
    <hyperlink ref="D10" r:id="rId5" xr:uid="{1F36C135-F323-4C35-BB31-050810B76234}"/>
    <hyperlink ref="D11" r:id="rId6" xr:uid="{4FC9AACC-E76D-49D8-9218-88FECB5A99CF}"/>
    <hyperlink ref="D7" r:id="rId7" xr:uid="{DE668AE7-0D4A-47D8-B55C-2B59751272A0}"/>
    <hyperlink ref="E5" r:id="rId8" xr:uid="{602A40E5-5B2A-4F53-B442-8822009004A5}"/>
    <hyperlink ref="E8" r:id="rId9" xr:uid="{5DCC5BD4-85B5-4CF8-BF84-BEF189D504DB}"/>
    <hyperlink ref="E6" r:id="rId10" xr:uid="{C800A99F-DDE9-4E44-9318-355649256061}"/>
    <hyperlink ref="E9" r:id="rId11" xr:uid="{E588A166-8F6F-42B5-9A2D-6F44C58AACA3}"/>
    <hyperlink ref="E10" r:id="rId12" xr:uid="{C587B1F1-08B7-4F97-8239-6DEAA6A9DE2F}"/>
    <hyperlink ref="E11" r:id="rId13" xr:uid="{ECB78085-DE30-4117-B094-03ECF3C62ACC}"/>
    <hyperlink ref="E7" r:id="rId14" xr:uid="{AB12C5AC-8593-4F32-9D10-39FE9CDC066E}"/>
    <hyperlink ref="D13" r:id="rId15" xr:uid="{F5E0A689-AC04-439B-9748-5D5E8A6C5092}"/>
    <hyperlink ref="D12" r:id="rId16" xr:uid="{FA0E771E-4A0A-4546-860A-17B85A3A62F9}"/>
  </hyperlinks>
  <pageMargins left="0.511811024" right="0.511811024" top="0.78740157499999996" bottom="0.78740157499999996" header="0.31496062000000002" footer="0.31496062000000002"/>
  <pageSetup paperSize="9" orientation="portrait" r:id="rId17"/>
  <drawing r:id="rId1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517CF-31CA-45A4-91F0-2D022532E695}">
          <x14:formula1>
            <xm:f>LGD!$C$5:$C$7</xm:f>
          </x14:formula1>
          <xm:sqref>G5:G13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EAD1-EE4F-4287-AE1E-B540FBFF579D}">
  <sheetPr codeName="Planilha1"/>
  <dimension ref="A1:R37"/>
  <sheetViews>
    <sheetView showGridLines="0" workbookViewId="0">
      <pane xSplit="17" ySplit="2" topLeftCell="T15" activePane="bottomRight" state="frozen"/>
      <selection activeCell="J22" sqref="J22"/>
      <selection pane="topRight" activeCell="J22" sqref="J22"/>
      <selection pane="bottomLeft" activeCell="J22" sqref="J22"/>
      <selection pane="bottomRight" activeCell="M25" sqref="M2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5.28515625" style="1" bestFit="1" customWidth="1"/>
    <col min="4" max="4" width="2.7109375" style="1" customWidth="1"/>
    <col min="5" max="5" width="12.5703125" style="1" bestFit="1" customWidth="1"/>
    <col min="6" max="6" width="2.7109375" style="1" customWidth="1"/>
    <col min="7" max="7" width="15.42578125" style="1" bestFit="1" customWidth="1"/>
    <col min="8" max="8" width="2.7109375" style="1" customWidth="1"/>
    <col min="9" max="9" width="7.85546875" style="1" bestFit="1" customWidth="1"/>
    <col min="10" max="10" width="2.7109375" style="1" customWidth="1"/>
    <col min="11" max="11" width="18.42578125" style="1" bestFit="1" customWidth="1"/>
    <col min="12" max="12" width="2.7109375" style="1" customWidth="1"/>
    <col min="13" max="13" width="21" style="1" bestFit="1" customWidth="1"/>
    <col min="14" max="14" width="47" style="1" bestFit="1" customWidth="1"/>
    <col min="15" max="15" width="2.7109375" style="1" customWidth="1"/>
    <col min="16" max="16" width="18.42578125" style="1" bestFit="1" customWidth="1"/>
    <col min="17" max="16384" width="9.140625" style="1"/>
  </cols>
  <sheetData>
    <row r="1" spans="1:18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8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8" ht="15.75" customHeight="1" x14ac:dyDescent="0.2"/>
    <row r="4" spans="1:18" ht="15.75" x14ac:dyDescent="0.25">
      <c r="C4" s="38" t="s">
        <v>38</v>
      </c>
      <c r="E4" s="38" t="s">
        <v>39</v>
      </c>
      <c r="G4" s="38" t="s">
        <v>40</v>
      </c>
      <c r="I4" s="38" t="s">
        <v>41</v>
      </c>
      <c r="K4" s="38" t="s">
        <v>42</v>
      </c>
      <c r="M4" s="39" t="s">
        <v>77</v>
      </c>
      <c r="N4" s="39" t="s">
        <v>78</v>
      </c>
      <c r="P4" s="38" t="s">
        <v>238</v>
      </c>
      <c r="R4" s="38" t="s">
        <v>0</v>
      </c>
    </row>
    <row r="5" spans="1:18" x14ac:dyDescent="0.2">
      <c r="C5" s="40" t="s">
        <v>19</v>
      </c>
      <c r="E5" s="40" t="s">
        <v>242</v>
      </c>
      <c r="G5" s="40" t="s">
        <v>46</v>
      </c>
      <c r="I5" s="40">
        <v>0</v>
      </c>
      <c r="K5" s="40" t="s">
        <v>43</v>
      </c>
      <c r="M5" s="3">
        <v>1</v>
      </c>
      <c r="N5" s="3">
        <v>1</v>
      </c>
      <c r="P5" s="40" t="s">
        <v>239</v>
      </c>
      <c r="R5" s="40" t="s">
        <v>80</v>
      </c>
    </row>
    <row r="6" spans="1:18" x14ac:dyDescent="0.2">
      <c r="C6" s="40" t="s">
        <v>44</v>
      </c>
      <c r="E6" s="40" t="s">
        <v>243</v>
      </c>
      <c r="G6" s="40" t="s">
        <v>107</v>
      </c>
      <c r="I6" s="40">
        <v>1</v>
      </c>
      <c r="K6" s="40" t="s">
        <v>45</v>
      </c>
      <c r="M6" s="3">
        <v>2</v>
      </c>
      <c r="N6" s="3">
        <v>4</v>
      </c>
      <c r="P6" s="40" t="s">
        <v>240</v>
      </c>
      <c r="R6" s="40" t="s">
        <v>81</v>
      </c>
    </row>
    <row r="7" spans="1:18" x14ac:dyDescent="0.2">
      <c r="C7" s="40" t="s">
        <v>10</v>
      </c>
      <c r="E7" s="40" t="s">
        <v>244</v>
      </c>
      <c r="G7" s="40" t="s">
        <v>106</v>
      </c>
      <c r="I7" s="40">
        <v>2</v>
      </c>
      <c r="K7" s="40" t="s">
        <v>47</v>
      </c>
      <c r="M7" s="3">
        <v>3</v>
      </c>
      <c r="N7" s="3">
        <v>6</v>
      </c>
      <c r="P7" s="40" t="s">
        <v>241</v>
      </c>
      <c r="R7" s="40" t="s">
        <v>82</v>
      </c>
    </row>
    <row r="8" spans="1:18" ht="15" x14ac:dyDescent="0.25">
      <c r="E8"/>
      <c r="G8" s="40" t="s">
        <v>50</v>
      </c>
      <c r="I8" s="40">
        <v>3</v>
      </c>
      <c r="K8" s="40" t="s">
        <v>48</v>
      </c>
      <c r="M8" s="3">
        <v>5</v>
      </c>
      <c r="N8" s="3">
        <v>8</v>
      </c>
      <c r="P8" s="22"/>
    </row>
    <row r="9" spans="1:18" ht="15" x14ac:dyDescent="0.25">
      <c r="E9"/>
      <c r="G9" s="40" t="s">
        <v>108</v>
      </c>
      <c r="K9" s="40" t="s">
        <v>49</v>
      </c>
      <c r="M9" s="3">
        <v>8</v>
      </c>
      <c r="N9" s="3">
        <v>16</v>
      </c>
    </row>
    <row r="10" spans="1:18" ht="15" x14ac:dyDescent="0.25">
      <c r="E10"/>
      <c r="G10" s="40"/>
      <c r="K10" s="40" t="s">
        <v>51</v>
      </c>
      <c r="M10" s="3">
        <v>13</v>
      </c>
      <c r="N10" s="3">
        <v>40</v>
      </c>
    </row>
    <row r="11" spans="1:18" ht="15" x14ac:dyDescent="0.25">
      <c r="E11"/>
      <c r="G11" s="9"/>
      <c r="K11" s="40" t="s">
        <v>52</v>
      </c>
      <c r="M11" s="3">
        <v>20</v>
      </c>
      <c r="N11" s="3" t="s">
        <v>79</v>
      </c>
    </row>
    <row r="12" spans="1:18" ht="15" x14ac:dyDescent="0.25">
      <c r="E12"/>
      <c r="K12" s="40" t="s">
        <v>99</v>
      </c>
      <c r="M12" s="134" t="s">
        <v>346</v>
      </c>
      <c r="N12"/>
    </row>
    <row r="13" spans="1:18" ht="15" x14ac:dyDescent="0.25">
      <c r="E13"/>
      <c r="K13" s="40" t="s">
        <v>100</v>
      </c>
      <c r="M13" s="137" t="s">
        <v>347</v>
      </c>
    </row>
    <row r="14" spans="1:18" ht="15" x14ac:dyDescent="0.25">
      <c r="E14"/>
      <c r="K14" s="101" t="s">
        <v>231</v>
      </c>
      <c r="M14" s="137" t="s">
        <v>348</v>
      </c>
    </row>
    <row r="15" spans="1:18" ht="15" x14ac:dyDescent="0.25">
      <c r="E15"/>
      <c r="K15" s="101" t="s">
        <v>232</v>
      </c>
      <c r="M15" s="137" t="s">
        <v>349</v>
      </c>
    </row>
    <row r="16" spans="1:18" ht="15" x14ac:dyDescent="0.25">
      <c r="E16"/>
      <c r="K16" s="101" t="s">
        <v>235</v>
      </c>
      <c r="M16" s="137" t="s">
        <v>350</v>
      </c>
    </row>
    <row r="17" spans="5:13" ht="15" x14ac:dyDescent="0.25">
      <c r="E17"/>
      <c r="K17" s="101" t="s">
        <v>233</v>
      </c>
      <c r="M17" s="137" t="s">
        <v>351</v>
      </c>
    </row>
    <row r="18" spans="5:13" ht="15" x14ac:dyDescent="0.25">
      <c r="E18"/>
      <c r="K18" s="101" t="s">
        <v>234</v>
      </c>
    </row>
    <row r="19" spans="5:13" ht="29.25" x14ac:dyDescent="0.25">
      <c r="E19"/>
      <c r="K19" s="126" t="s">
        <v>264</v>
      </c>
    </row>
    <row r="20" spans="5:13" ht="15" x14ac:dyDescent="0.25">
      <c r="E20"/>
      <c r="K20" s="3" t="s">
        <v>352</v>
      </c>
    </row>
    <row r="21" spans="5:13" ht="43.5" x14ac:dyDescent="0.25">
      <c r="E21"/>
      <c r="K21" s="145" t="s">
        <v>353</v>
      </c>
    </row>
    <row r="22" spans="5:13" ht="29.25" x14ac:dyDescent="0.25">
      <c r="E22"/>
      <c r="K22" s="145" t="s">
        <v>354</v>
      </c>
    </row>
    <row r="23" spans="5:13" ht="15" x14ac:dyDescent="0.25">
      <c r="E23"/>
      <c r="K23" s="3"/>
    </row>
    <row r="24" spans="5:13" ht="15" x14ac:dyDescent="0.25">
      <c r="E24"/>
      <c r="K24" s="3"/>
    </row>
    <row r="25" spans="5:13" ht="15" x14ac:dyDescent="0.25">
      <c r="E25"/>
      <c r="K25" s="3"/>
    </row>
    <row r="26" spans="5:13" ht="15" x14ac:dyDescent="0.25">
      <c r="E26"/>
      <c r="K26" s="3"/>
    </row>
    <row r="27" spans="5:13" ht="15" x14ac:dyDescent="0.25">
      <c r="E27"/>
      <c r="K27" s="3"/>
    </row>
    <row r="28" spans="5:13" ht="15" x14ac:dyDescent="0.25">
      <c r="E28"/>
      <c r="K28" s="3"/>
    </row>
    <row r="29" spans="5:13" ht="15" x14ac:dyDescent="0.25">
      <c r="E29"/>
      <c r="K29" s="3"/>
    </row>
    <row r="30" spans="5:13" ht="15" x14ac:dyDescent="0.25">
      <c r="E30"/>
      <c r="K30" s="3"/>
    </row>
    <row r="31" spans="5:13" ht="15" x14ac:dyDescent="0.25">
      <c r="E31"/>
      <c r="K31" s="3"/>
    </row>
    <row r="32" spans="5:13" ht="15" x14ac:dyDescent="0.25">
      <c r="E32"/>
      <c r="K32" s="3"/>
    </row>
    <row r="33" spans="5:11" ht="15" x14ac:dyDescent="0.25">
      <c r="E33"/>
      <c r="K33" s="3"/>
    </row>
    <row r="34" spans="5:11" ht="15" x14ac:dyDescent="0.25">
      <c r="E34"/>
      <c r="K34" s="3"/>
    </row>
    <row r="35" spans="5:11" ht="15" x14ac:dyDescent="0.25">
      <c r="E35"/>
      <c r="K35" s="3"/>
    </row>
    <row r="36" spans="5:11" ht="15" x14ac:dyDescent="0.25">
      <c r="E36"/>
      <c r="K36" s="3"/>
    </row>
    <row r="37" spans="5:11" x14ac:dyDescent="0.2">
      <c r="K37" s="3"/>
    </row>
  </sheetData>
  <sortState xmlns:xlrd2="http://schemas.microsoft.com/office/spreadsheetml/2017/richdata2" ref="M5:N12">
    <sortCondition ref="M5:M12"/>
  </sortState>
  <phoneticPr fontId="11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76C2-291F-401D-88B0-911B1D945F64}">
  <sheetPr codeName="Planilha3"/>
  <dimension ref="A1:K19"/>
  <sheetViews>
    <sheetView showGridLines="0" showRowColHeaders="0" workbookViewId="0">
      <pane xSplit="10" ySplit="4" topLeftCell="K5" activePane="bottomRight" state="frozen"/>
      <selection activeCell="J22" sqref="J22"/>
      <selection pane="topRight" activeCell="J22" sqref="J22"/>
      <selection pane="bottomLeft" activeCell="J22" sqref="J22"/>
      <selection pane="bottomRight" activeCell="G6" sqref="G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26.5703125" style="1" bestFit="1" customWidth="1"/>
    <col min="4" max="5" width="15.7109375" style="1" customWidth="1"/>
    <col min="6" max="6" width="12.85546875" style="1" bestFit="1" customWidth="1"/>
    <col min="7" max="8" width="15.7109375" style="1" customWidth="1"/>
    <col min="9" max="9" width="60.7109375" style="1" customWidth="1"/>
    <col min="10" max="10" width="20.7109375" style="1" customWidth="1"/>
    <col min="11" max="13" width="9.140625" style="1"/>
    <col min="14" max="14" width="42.42578125" style="1" bestFit="1" customWidth="1"/>
    <col min="15" max="16384" width="9.140625" style="1"/>
  </cols>
  <sheetData>
    <row r="1" spans="1:11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8"/>
    </row>
    <row r="2" spans="1:11" ht="33" customHeight="1" x14ac:dyDescent="0.2">
      <c r="A2" s="2"/>
      <c r="B2" s="2"/>
      <c r="C2" s="2"/>
      <c r="D2" s="148"/>
      <c r="E2" s="148"/>
      <c r="F2" s="148"/>
      <c r="G2" s="148"/>
      <c r="H2" s="148"/>
      <c r="I2" s="148"/>
      <c r="J2" s="148"/>
      <c r="K2" s="19"/>
    </row>
    <row r="3" spans="1:11" ht="15.75" customHeight="1" x14ac:dyDescent="0.2"/>
    <row r="4" spans="1:11" ht="32.25" customHeight="1" x14ac:dyDescent="0.2">
      <c r="C4" s="12" t="s">
        <v>53</v>
      </c>
      <c r="D4" s="14" t="s">
        <v>54</v>
      </c>
      <c r="E4" s="14" t="s">
        <v>55</v>
      </c>
      <c r="F4" s="12" t="s">
        <v>1</v>
      </c>
      <c r="G4" s="12" t="s">
        <v>56</v>
      </c>
      <c r="H4" s="14" t="s">
        <v>57</v>
      </c>
      <c r="I4" s="12" t="s">
        <v>58</v>
      </c>
      <c r="J4" s="14" t="s">
        <v>59</v>
      </c>
    </row>
    <row r="5" spans="1:11" ht="30" customHeight="1" x14ac:dyDescent="0.2">
      <c r="C5" s="10" t="s">
        <v>63</v>
      </c>
      <c r="D5" s="11">
        <v>44255</v>
      </c>
      <c r="E5" s="11">
        <v>44261</v>
      </c>
      <c r="F5" s="10"/>
      <c r="G5" s="10"/>
      <c r="H5" s="11" t="s">
        <v>111</v>
      </c>
      <c r="I5" s="43" t="s">
        <v>69</v>
      </c>
      <c r="J5" s="20">
        <f>SUM(Planning[[#This Row],[Data Entrega]]-Planning[[#This Row],[Data Início]])</f>
        <v>6</v>
      </c>
    </row>
    <row r="6" spans="1:11" ht="30" customHeight="1" x14ac:dyDescent="0.2">
      <c r="C6" s="10" t="s">
        <v>95</v>
      </c>
      <c r="D6" s="11">
        <v>44263</v>
      </c>
      <c r="E6" s="11">
        <v>44283</v>
      </c>
      <c r="F6" s="10"/>
      <c r="G6" s="10"/>
      <c r="H6" s="13"/>
      <c r="I6" s="43"/>
      <c r="J6" s="20">
        <f>SUM(Planning[[#This Row],[Data Entrega]]-Planning[[#This Row],[Data Início]])</f>
        <v>20</v>
      </c>
    </row>
    <row r="7" spans="1:11" ht="30" customHeight="1" x14ac:dyDescent="0.2">
      <c r="C7" s="10" t="s">
        <v>64</v>
      </c>
      <c r="D7" s="11"/>
      <c r="E7" s="11"/>
      <c r="F7" s="10"/>
      <c r="G7" s="10"/>
      <c r="H7" s="13"/>
      <c r="I7" s="43"/>
      <c r="J7" s="20">
        <f>SUM(Planning[[#This Row],[Data Entrega]]-Planning[[#This Row],[Data Início]])</f>
        <v>0</v>
      </c>
    </row>
    <row r="8" spans="1:11" ht="30" customHeight="1" x14ac:dyDescent="0.2">
      <c r="C8" s="10" t="s">
        <v>96</v>
      </c>
      <c r="D8" s="11">
        <v>44284</v>
      </c>
      <c r="E8" s="11">
        <v>44304</v>
      </c>
      <c r="F8" s="10"/>
      <c r="G8" s="10"/>
      <c r="H8" s="13"/>
      <c r="I8" s="43"/>
      <c r="J8" s="20">
        <f>SUM(Planning[[#This Row],[Data Entrega]]-Planning[[#This Row],[Data Início]])</f>
        <v>20</v>
      </c>
    </row>
    <row r="9" spans="1:11" ht="30" customHeight="1" x14ac:dyDescent="0.2">
      <c r="C9" s="10" t="s">
        <v>65</v>
      </c>
      <c r="D9" s="11"/>
      <c r="E9" s="11"/>
      <c r="F9" s="10"/>
      <c r="G9" s="10"/>
      <c r="H9" s="13"/>
      <c r="I9" s="43"/>
      <c r="J9" s="20">
        <f>SUM(Planning[[#This Row],[Data Entrega]]-Planning[[#This Row],[Data Início]])</f>
        <v>0</v>
      </c>
    </row>
    <row r="10" spans="1:11" ht="30" customHeight="1" x14ac:dyDescent="0.2">
      <c r="C10" s="10" t="s">
        <v>97</v>
      </c>
      <c r="D10" s="11">
        <v>44312</v>
      </c>
      <c r="E10" s="11">
        <v>44332</v>
      </c>
      <c r="F10" s="10"/>
      <c r="G10" s="10"/>
      <c r="H10" s="13"/>
      <c r="I10" s="43"/>
      <c r="J10" s="20">
        <f>SUM(Planning[[#This Row],[Data Entrega]]-Planning[[#This Row],[Data Início]])</f>
        <v>20</v>
      </c>
    </row>
    <row r="11" spans="1:11" ht="30" customHeight="1" x14ac:dyDescent="0.2">
      <c r="C11" s="10" t="s">
        <v>66</v>
      </c>
      <c r="D11" s="11"/>
      <c r="E11" s="11"/>
      <c r="F11" s="10"/>
      <c r="G11" s="10"/>
      <c r="H11" s="13"/>
      <c r="I11" s="43"/>
      <c r="J11" s="20">
        <f>SUM(Planning[[#This Row],[Data Entrega]]-Planning[[#This Row],[Data Início]])</f>
        <v>0</v>
      </c>
    </row>
    <row r="12" spans="1:11" ht="30" customHeight="1" x14ac:dyDescent="0.2">
      <c r="C12" s="10" t="s">
        <v>98</v>
      </c>
      <c r="D12" s="11">
        <v>44333</v>
      </c>
      <c r="E12" s="11">
        <v>44352</v>
      </c>
      <c r="F12" s="10"/>
      <c r="G12" s="10"/>
      <c r="H12" s="13"/>
      <c r="I12" s="43"/>
      <c r="J12" s="20">
        <f>SUM(Planning[[#This Row],[Data Entrega]]-Planning[[#This Row],[Data Início]])</f>
        <v>19</v>
      </c>
    </row>
    <row r="13" spans="1:11" ht="30" customHeight="1" x14ac:dyDescent="0.2">
      <c r="C13" s="10" t="s">
        <v>67</v>
      </c>
      <c r="D13" s="11"/>
      <c r="E13" s="11"/>
      <c r="F13" s="10"/>
      <c r="G13" s="10"/>
      <c r="H13" s="13"/>
      <c r="I13" s="43"/>
      <c r="J13" s="20">
        <f>SUM(Planning[[#This Row],[Data Entrega]]-Planning[[#This Row],[Data Início]])</f>
        <v>0</v>
      </c>
    </row>
    <row r="14" spans="1:11" ht="30" customHeight="1" x14ac:dyDescent="0.2">
      <c r="C14" s="10" t="s">
        <v>60</v>
      </c>
      <c r="D14" s="11">
        <v>44354</v>
      </c>
      <c r="E14" s="11">
        <v>44358</v>
      </c>
      <c r="F14" s="10"/>
      <c r="G14" s="10"/>
      <c r="H14" s="13"/>
      <c r="I14" s="43"/>
      <c r="J14" s="20">
        <f>SUM(Planning[[#This Row],[Data Entrega]]-Planning[[#This Row],[Data Início]])</f>
        <v>4</v>
      </c>
    </row>
    <row r="15" spans="1:11" ht="30" customHeight="1" x14ac:dyDescent="0.2">
      <c r="C15" s="10" t="s">
        <v>61</v>
      </c>
      <c r="D15" s="11"/>
      <c r="E15" s="11"/>
      <c r="F15" s="10"/>
      <c r="G15" s="10"/>
      <c r="H15" s="13"/>
      <c r="I15" s="43"/>
      <c r="J15" s="20">
        <f>SUM(Planning[[#This Row],[Data Entrega]]-Planning[[#This Row],[Data Início]])</f>
        <v>0</v>
      </c>
    </row>
    <row r="16" spans="1:11" ht="30" customHeight="1" x14ac:dyDescent="0.2">
      <c r="C16" s="10" t="s">
        <v>62</v>
      </c>
      <c r="D16" s="11">
        <v>44361</v>
      </c>
      <c r="E16" s="11">
        <v>44365</v>
      </c>
      <c r="F16" s="10"/>
      <c r="G16" s="10"/>
      <c r="H16" s="13"/>
      <c r="I16" s="43"/>
      <c r="J16" s="20">
        <f>SUM(Planning[[#This Row],[Data Entrega]]-Planning[[#This Row],[Data Início]])</f>
        <v>4</v>
      </c>
    </row>
    <row r="18" spans="3:10" x14ac:dyDescent="0.2">
      <c r="C18" s="149" t="s">
        <v>68</v>
      </c>
      <c r="D18" s="149"/>
      <c r="E18" s="149"/>
      <c r="F18" s="149"/>
      <c r="G18" s="149"/>
      <c r="H18" s="149"/>
      <c r="I18" s="149"/>
      <c r="J18" s="149"/>
    </row>
    <row r="19" spans="3:10" x14ac:dyDescent="0.2">
      <c r="C19" s="150"/>
      <c r="D19" s="150"/>
      <c r="E19" s="150"/>
      <c r="F19" s="150"/>
      <c r="G19" s="150"/>
      <c r="H19" s="150"/>
      <c r="I19" s="150"/>
      <c r="J19" s="150"/>
    </row>
  </sheetData>
  <mergeCells count="2">
    <mergeCell ref="D2:J2"/>
    <mergeCell ref="C18:J19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0885E-A44E-49FB-A56C-8BF9E4B31A6A}">
  <sheetPr codeName="Planilha4"/>
  <dimension ref="A1:J16"/>
  <sheetViews>
    <sheetView showGridLines="0" workbookViewId="0">
      <pane xSplit="9" ySplit="4" topLeftCell="J5" activePane="bottomRight" state="frozen"/>
      <selection activeCell="J22" sqref="J22"/>
      <selection pane="topRight" activeCell="J22" sqref="J22"/>
      <selection pane="bottomLeft" activeCell="J22" sqref="J22"/>
      <selection pane="bottomRight" activeCell="E8" sqref="E8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customWidth="1"/>
    <col min="4" max="4" width="21.42578125" style="1" bestFit="1" customWidth="1"/>
    <col min="5" max="7" width="40.7109375" style="1" customWidth="1"/>
    <col min="8" max="16384" width="9.140625" style="1"/>
  </cols>
  <sheetData>
    <row r="1" spans="1:10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</row>
    <row r="2" spans="1:10" ht="33" customHeight="1" x14ac:dyDescent="0.2">
      <c r="A2" s="2"/>
      <c r="B2" s="2"/>
      <c r="C2" s="2"/>
      <c r="D2" s="148"/>
      <c r="E2" s="148"/>
      <c r="F2" s="148"/>
      <c r="G2" s="148"/>
      <c r="H2" s="148"/>
      <c r="I2" s="2"/>
      <c r="J2" s="2"/>
    </row>
    <row r="3" spans="1:10" ht="15.75" customHeight="1" x14ac:dyDescent="0.2"/>
    <row r="4" spans="1:10" ht="32.25" customHeight="1" x14ac:dyDescent="0.2">
      <c r="C4" s="21" t="s">
        <v>70</v>
      </c>
      <c r="D4" s="9" t="s">
        <v>71</v>
      </c>
      <c r="E4" s="9" t="s">
        <v>72</v>
      </c>
      <c r="F4" s="9" t="s">
        <v>73</v>
      </c>
      <c r="G4" s="9" t="s">
        <v>74</v>
      </c>
    </row>
    <row r="5" spans="1:10" ht="22.5" customHeight="1" x14ac:dyDescent="0.2">
      <c r="C5" s="11"/>
      <c r="D5" s="9" t="s">
        <v>20</v>
      </c>
      <c r="E5" s="44"/>
      <c r="F5" s="44"/>
      <c r="G5" s="15"/>
    </row>
    <row r="6" spans="1:10" ht="22.5" customHeight="1" x14ac:dyDescent="0.2">
      <c r="C6" s="11"/>
      <c r="D6" s="9" t="s">
        <v>11</v>
      </c>
      <c r="E6" s="44"/>
      <c r="F6" s="44"/>
      <c r="G6" s="15"/>
    </row>
    <row r="7" spans="1:10" ht="22.5" customHeight="1" x14ac:dyDescent="0.2">
      <c r="C7" s="11"/>
      <c r="D7" s="9" t="s">
        <v>6</v>
      </c>
      <c r="E7" s="44"/>
      <c r="F7" s="44"/>
      <c r="G7" s="15"/>
    </row>
    <row r="8" spans="1:10" ht="22.5" customHeight="1" x14ac:dyDescent="0.2">
      <c r="C8" s="11"/>
      <c r="D8" s="9" t="s">
        <v>15</v>
      </c>
      <c r="E8" s="44"/>
      <c r="F8" s="44"/>
      <c r="G8" s="15"/>
    </row>
    <row r="9" spans="1:10" ht="22.5" customHeight="1" x14ac:dyDescent="0.2">
      <c r="C9" s="11"/>
      <c r="D9" s="9" t="s">
        <v>28</v>
      </c>
      <c r="E9" s="44"/>
      <c r="F9" s="44"/>
      <c r="G9" s="15"/>
    </row>
    <row r="10" spans="1:10" ht="22.5" customHeight="1" x14ac:dyDescent="0.2">
      <c r="C10" s="11"/>
      <c r="D10" s="9" t="s">
        <v>24</v>
      </c>
      <c r="E10" s="44"/>
      <c r="F10" s="44"/>
      <c r="G10" s="15"/>
    </row>
    <row r="11" spans="1:10" ht="22.5" customHeight="1" x14ac:dyDescent="0.2">
      <c r="C11" s="11"/>
      <c r="D11" s="9" t="s">
        <v>32</v>
      </c>
      <c r="E11" s="44"/>
      <c r="F11" s="44"/>
      <c r="G11" s="15"/>
    </row>
    <row r="12" spans="1:10" ht="22.5" customHeight="1" x14ac:dyDescent="0.2">
      <c r="C12" s="11"/>
      <c r="D12" s="9" t="s">
        <v>37</v>
      </c>
      <c r="E12" s="44"/>
      <c r="F12" s="44"/>
      <c r="G12" s="15"/>
    </row>
    <row r="13" spans="1:10" ht="22.5" customHeight="1" x14ac:dyDescent="0.2">
      <c r="C13" s="11"/>
      <c r="D13" s="9" t="s">
        <v>36</v>
      </c>
      <c r="E13" s="44"/>
      <c r="F13" s="44"/>
      <c r="G13" s="15"/>
    </row>
    <row r="15" spans="1:10" x14ac:dyDescent="0.2">
      <c r="C15" s="149" t="s">
        <v>94</v>
      </c>
      <c r="D15" s="149"/>
      <c r="E15" s="149"/>
      <c r="F15" s="149"/>
      <c r="G15" s="149"/>
    </row>
    <row r="16" spans="1:10" x14ac:dyDescent="0.2">
      <c r="C16" s="150"/>
      <c r="D16" s="150"/>
      <c r="E16" s="150"/>
      <c r="F16" s="150"/>
      <c r="G16" s="150"/>
    </row>
  </sheetData>
  <mergeCells count="2">
    <mergeCell ref="D2:H2"/>
    <mergeCell ref="C15:G16"/>
  </mergeCells>
  <dataValidations count="1">
    <dataValidation type="list" allowBlank="1" showInputMessage="1" showErrorMessage="1" sqref="D5:D13" xr:uid="{AD960DC2-8E88-4E65-A765-438DF5182BAC}">
      <formula1>Colaboradores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1278-4A75-44F3-82E6-35772C2F7063}">
  <sheetPr codeName="Planilha5"/>
  <dimension ref="A1:X42"/>
  <sheetViews>
    <sheetView showGridLines="0" zoomScaleNormal="100" workbookViewId="0">
      <pane xSplit="11" ySplit="4" topLeftCell="L5" activePane="bottomRight" state="frozen"/>
      <selection activeCell="J22" sqref="J22"/>
      <selection pane="topRight" activeCell="J22" sqref="J22"/>
      <selection pane="bottomLeft" activeCell="J22" sqref="J22"/>
      <selection pane="bottomRight" activeCell="G3" sqref="G3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40.7109375" style="1" customWidth="1"/>
    <col min="4" max="4" width="2.28515625" style="1" customWidth="1"/>
    <col min="5" max="5" width="40.7109375" style="1" customWidth="1"/>
    <col min="6" max="6" width="2.28515625" style="1" customWidth="1"/>
    <col min="7" max="7" width="40.7109375" style="1" customWidth="1"/>
    <col min="8" max="8" width="2.28515625" style="1" customWidth="1"/>
    <col min="9" max="9" width="40.7109375" style="1" customWidth="1"/>
    <col min="10" max="10" width="2.28515625" style="1" customWidth="1"/>
    <col min="11" max="11" width="12.140625" style="1" customWidth="1"/>
    <col min="12" max="16384" width="9.140625" style="1"/>
  </cols>
  <sheetData>
    <row r="1" spans="1:24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ht="15.75" customHeight="1" x14ac:dyDescent="0.2"/>
    <row r="4" spans="1:24" ht="32.25" customHeight="1" x14ac:dyDescent="0.2">
      <c r="C4" s="9" t="s">
        <v>95</v>
      </c>
      <c r="E4" s="9" t="s">
        <v>96</v>
      </c>
      <c r="G4" s="9" t="s">
        <v>97</v>
      </c>
      <c r="I4" s="9" t="s">
        <v>98</v>
      </c>
      <c r="K4" s="1" t="s">
        <v>110</v>
      </c>
    </row>
    <row r="5" spans="1:24" ht="25.35" customHeight="1" x14ac:dyDescent="0.2">
      <c r="C5" s="16" t="s">
        <v>139</v>
      </c>
      <c r="E5" s="16" t="s">
        <v>154</v>
      </c>
      <c r="G5" s="131" t="s">
        <v>298</v>
      </c>
      <c r="I5" s="16" t="s">
        <v>267</v>
      </c>
      <c r="K5" s="1" t="s">
        <v>95</v>
      </c>
    </row>
    <row r="6" spans="1:24" ht="25.35" customHeight="1" x14ac:dyDescent="0.2">
      <c r="C6" s="16" t="s">
        <v>140</v>
      </c>
      <c r="E6" s="16" t="s">
        <v>155</v>
      </c>
      <c r="G6" s="16" t="s">
        <v>288</v>
      </c>
      <c r="I6" s="16" t="s">
        <v>268</v>
      </c>
      <c r="K6" s="1" t="s">
        <v>96</v>
      </c>
    </row>
    <row r="7" spans="1:24" ht="25.35" customHeight="1" x14ac:dyDescent="0.2">
      <c r="C7" s="16" t="s">
        <v>141</v>
      </c>
      <c r="E7" s="16" t="s">
        <v>156</v>
      </c>
      <c r="G7" s="16" t="s">
        <v>289</v>
      </c>
      <c r="I7" s="16" t="s">
        <v>269</v>
      </c>
      <c r="K7" s="1" t="s">
        <v>97</v>
      </c>
    </row>
    <row r="8" spans="1:24" ht="25.35" customHeight="1" x14ac:dyDescent="0.2">
      <c r="C8" s="16" t="s">
        <v>142</v>
      </c>
      <c r="E8" s="16" t="s">
        <v>157</v>
      </c>
      <c r="G8" s="16" t="s">
        <v>290</v>
      </c>
      <c r="I8" s="16" t="s">
        <v>270</v>
      </c>
      <c r="K8" s="1" t="s">
        <v>98</v>
      </c>
    </row>
    <row r="9" spans="1:24" ht="28.5" x14ac:dyDescent="0.2">
      <c r="C9" s="16" t="s">
        <v>143</v>
      </c>
      <c r="E9" s="16" t="s">
        <v>158</v>
      </c>
      <c r="G9" s="16" t="s">
        <v>291</v>
      </c>
      <c r="I9" s="16" t="s">
        <v>271</v>
      </c>
    </row>
    <row r="10" spans="1:24" ht="25.35" customHeight="1" x14ac:dyDescent="0.2">
      <c r="C10" s="16" t="s">
        <v>144</v>
      </c>
      <c r="E10" s="16" t="s">
        <v>308</v>
      </c>
      <c r="G10" s="16" t="s">
        <v>292</v>
      </c>
      <c r="I10" s="16" t="s">
        <v>272</v>
      </c>
    </row>
    <row r="11" spans="1:24" ht="25.35" customHeight="1" x14ac:dyDescent="0.2">
      <c r="C11" s="16" t="s">
        <v>145</v>
      </c>
      <c r="E11" s="16" t="s">
        <v>160</v>
      </c>
      <c r="G11" s="16" t="s">
        <v>293</v>
      </c>
      <c r="I11" s="16" t="s">
        <v>273</v>
      </c>
    </row>
    <row r="12" spans="1:24" ht="28.5" x14ac:dyDescent="0.2">
      <c r="C12" s="16" t="s">
        <v>146</v>
      </c>
      <c r="E12" s="16" t="s">
        <v>161</v>
      </c>
      <c r="G12" s="16" t="s">
        <v>294</v>
      </c>
      <c r="I12" s="16" t="s">
        <v>274</v>
      </c>
    </row>
    <row r="13" spans="1:24" ht="28.5" customHeight="1" x14ac:dyDescent="0.2">
      <c r="C13" s="16" t="s">
        <v>147</v>
      </c>
      <c r="E13" s="16" t="s">
        <v>162</v>
      </c>
      <c r="G13" s="16" t="s">
        <v>295</v>
      </c>
      <c r="I13" s="16"/>
    </row>
    <row r="14" spans="1:24" ht="25.35" customHeight="1" x14ac:dyDescent="0.2">
      <c r="C14" s="16" t="s">
        <v>148</v>
      </c>
      <c r="E14" s="16" t="s">
        <v>163</v>
      </c>
      <c r="G14" s="16" t="s">
        <v>296</v>
      </c>
      <c r="I14" s="16"/>
    </row>
    <row r="15" spans="1:24" ht="25.35" customHeight="1" x14ac:dyDescent="0.2">
      <c r="C15" s="16" t="s">
        <v>149</v>
      </c>
      <c r="E15" s="16" t="s">
        <v>164</v>
      </c>
      <c r="G15" s="16" t="s">
        <v>297</v>
      </c>
      <c r="I15" s="16"/>
    </row>
    <row r="16" spans="1:24" ht="25.35" customHeight="1" x14ac:dyDescent="0.2">
      <c r="C16" s="16" t="s">
        <v>150</v>
      </c>
      <c r="E16" s="16" t="s">
        <v>165</v>
      </c>
      <c r="G16" s="16" t="s">
        <v>171</v>
      </c>
      <c r="I16" s="16"/>
    </row>
    <row r="17" spans="3:9" ht="25.35" customHeight="1" x14ac:dyDescent="0.2">
      <c r="C17" s="16" t="s">
        <v>151</v>
      </c>
      <c r="E17" s="16"/>
      <c r="G17" s="16" t="s">
        <v>172</v>
      </c>
      <c r="I17" s="16"/>
    </row>
    <row r="18" spans="3:9" ht="25.35" customHeight="1" x14ac:dyDescent="0.2">
      <c r="C18" s="16" t="s">
        <v>152</v>
      </c>
      <c r="E18" s="16"/>
      <c r="G18" s="16" t="s">
        <v>299</v>
      </c>
      <c r="I18" s="16"/>
    </row>
    <row r="19" spans="3:9" ht="34.5" customHeight="1" x14ac:dyDescent="0.2">
      <c r="C19" s="16" t="s">
        <v>153</v>
      </c>
      <c r="E19" s="16"/>
      <c r="G19" s="16" t="s">
        <v>174</v>
      </c>
      <c r="I19" s="16"/>
    </row>
    <row r="20" spans="3:9" ht="25.35" customHeight="1" x14ac:dyDescent="0.2">
      <c r="C20" s="16"/>
      <c r="E20" s="16"/>
      <c r="G20" s="16"/>
      <c r="I20" s="16"/>
    </row>
    <row r="21" spans="3:9" x14ac:dyDescent="0.2">
      <c r="G21" s="16"/>
    </row>
    <row r="22" spans="3:9" ht="20.100000000000001" customHeight="1" x14ac:dyDescent="0.2">
      <c r="C22" s="91" t="s">
        <v>135</v>
      </c>
      <c r="E22" s="91" t="s">
        <v>136</v>
      </c>
      <c r="G22" s="91" t="s">
        <v>137</v>
      </c>
      <c r="I22" s="91" t="s">
        <v>138</v>
      </c>
    </row>
    <row r="23" spans="3:9" x14ac:dyDescent="0.2">
      <c r="C23" s="151" t="s">
        <v>265</v>
      </c>
      <c r="E23" s="151"/>
      <c r="G23" s="128"/>
      <c r="I23" s="151"/>
    </row>
    <row r="24" spans="3:9" x14ac:dyDescent="0.2">
      <c r="C24" s="152"/>
      <c r="E24" s="152"/>
      <c r="G24" s="129"/>
      <c r="I24" s="152"/>
    </row>
    <row r="25" spans="3:9" x14ac:dyDescent="0.2">
      <c r="C25" s="152"/>
      <c r="E25" s="152"/>
      <c r="G25" s="129"/>
      <c r="I25" s="152"/>
    </row>
    <row r="26" spans="3:9" x14ac:dyDescent="0.2">
      <c r="C26" s="152"/>
      <c r="E26" s="152"/>
      <c r="G26" s="129"/>
      <c r="I26" s="152"/>
    </row>
    <row r="27" spans="3:9" x14ac:dyDescent="0.2">
      <c r="C27" s="152"/>
      <c r="E27" s="152"/>
      <c r="G27" s="129"/>
      <c r="I27" s="152"/>
    </row>
    <row r="28" spans="3:9" x14ac:dyDescent="0.2">
      <c r="C28" s="152"/>
      <c r="E28" s="152"/>
      <c r="G28" s="129"/>
      <c r="I28" s="152"/>
    </row>
    <row r="29" spans="3:9" x14ac:dyDescent="0.2">
      <c r="C29" s="152"/>
      <c r="E29" s="152"/>
      <c r="G29" s="129"/>
      <c r="I29" s="152"/>
    </row>
    <row r="30" spans="3:9" x14ac:dyDescent="0.2">
      <c r="C30" s="152"/>
      <c r="E30" s="152"/>
      <c r="G30" s="129"/>
      <c r="I30" s="152"/>
    </row>
    <row r="31" spans="3:9" x14ac:dyDescent="0.2">
      <c r="C31" s="152"/>
      <c r="E31" s="152"/>
      <c r="G31" s="129"/>
      <c r="I31" s="152"/>
    </row>
    <row r="32" spans="3:9" x14ac:dyDescent="0.2">
      <c r="C32" s="152"/>
      <c r="E32" s="152"/>
      <c r="G32" s="129"/>
      <c r="I32" s="152"/>
    </row>
    <row r="33" spans="3:9" x14ac:dyDescent="0.2">
      <c r="C33" s="152"/>
      <c r="E33" s="152"/>
      <c r="G33" s="129"/>
      <c r="I33" s="152"/>
    </row>
    <row r="34" spans="3:9" x14ac:dyDescent="0.2">
      <c r="C34" s="152"/>
      <c r="E34" s="152"/>
      <c r="G34" s="129"/>
      <c r="I34" s="152"/>
    </row>
    <row r="35" spans="3:9" x14ac:dyDescent="0.2">
      <c r="C35" s="152"/>
      <c r="E35" s="152"/>
      <c r="G35" s="129"/>
      <c r="I35" s="152"/>
    </row>
    <row r="36" spans="3:9" x14ac:dyDescent="0.2">
      <c r="C36" s="152"/>
      <c r="E36" s="152"/>
      <c r="G36" s="129"/>
      <c r="I36" s="152"/>
    </row>
    <row r="37" spans="3:9" x14ac:dyDescent="0.2">
      <c r="C37" s="152"/>
      <c r="E37" s="152"/>
      <c r="G37" s="129"/>
      <c r="I37" s="152"/>
    </row>
    <row r="38" spans="3:9" x14ac:dyDescent="0.2">
      <c r="C38" s="152"/>
      <c r="E38" s="152"/>
      <c r="G38" s="129"/>
      <c r="I38" s="152"/>
    </row>
    <row r="39" spans="3:9" x14ac:dyDescent="0.2">
      <c r="C39" s="152"/>
      <c r="E39" s="152"/>
      <c r="G39" s="129"/>
      <c r="I39" s="152"/>
    </row>
    <row r="40" spans="3:9" x14ac:dyDescent="0.2">
      <c r="C40" s="152"/>
      <c r="E40" s="152"/>
      <c r="G40" s="129"/>
      <c r="I40" s="152"/>
    </row>
    <row r="41" spans="3:9" x14ac:dyDescent="0.2">
      <c r="C41" s="152"/>
      <c r="E41" s="152"/>
      <c r="G41" s="129"/>
      <c r="I41" s="152"/>
    </row>
    <row r="42" spans="3:9" x14ac:dyDescent="0.2">
      <c r="C42" s="153"/>
      <c r="E42" s="153"/>
      <c r="G42" s="130"/>
      <c r="I42" s="153"/>
    </row>
  </sheetData>
  <mergeCells count="3">
    <mergeCell ref="I23:I42"/>
    <mergeCell ref="E23:E42"/>
    <mergeCell ref="C23:C42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DC85E-89F1-4E54-BA2F-B7AB254B8C2D}">
  <sheetPr codeName="Planilha6"/>
  <dimension ref="A1:Y88"/>
  <sheetViews>
    <sheetView showGridLines="0" tabSelected="1" zoomScale="70" zoomScaleNormal="70" workbookViewId="0">
      <pane xSplit="15" ySplit="4" topLeftCell="P5" activePane="bottomRight" state="frozen"/>
      <selection pane="topRight" activeCell="P1" sqref="P1"/>
      <selection pane="bottomLeft" activeCell="A5" sqref="A5"/>
      <selection pane="bottomRight" activeCell="K20" sqref="K20"/>
    </sheetView>
  </sheetViews>
  <sheetFormatPr defaultRowHeight="15" x14ac:dyDescent="0.25"/>
  <cols>
    <col min="1" max="1" width="2.28515625" style="1" customWidth="1"/>
    <col min="2" max="2" width="1.42578125" style="1" customWidth="1"/>
    <col min="3" max="3" width="9.85546875" style="1" customWidth="1"/>
    <col min="4" max="4" width="10.7109375" style="1" customWidth="1"/>
    <col min="5" max="5" width="50.7109375" style="1" customWidth="1"/>
    <col min="6" max="6" width="30.7109375" style="1" customWidth="1"/>
    <col min="7" max="7" width="16.85546875" style="1" customWidth="1"/>
    <col min="8" max="8" width="12.7109375" style="1" customWidth="1"/>
    <col min="9" max="9" width="23.5703125" style="1" customWidth="1"/>
    <col min="10" max="10" width="15.7109375" style="1" customWidth="1"/>
    <col min="11" max="11" width="17.7109375" style="1" customWidth="1"/>
    <col min="12" max="12" width="18.28515625" style="1" bestFit="1" customWidth="1"/>
    <col min="13" max="14" width="12.7109375" style="1" customWidth="1"/>
    <col min="23" max="16384" width="9.140625" style="1"/>
  </cols>
  <sheetData>
    <row r="1" spans="1:25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10"/>
      <c r="M1"/>
      <c r="N1"/>
    </row>
    <row r="2" spans="1:25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09"/>
      <c r="M2"/>
      <c r="N2"/>
    </row>
    <row r="3" spans="1:25" ht="15.75" customHeight="1" x14ac:dyDescent="0.25"/>
    <row r="4" spans="1:25" ht="32.25" customHeight="1" x14ac:dyDescent="0.25">
      <c r="C4" s="100" t="s">
        <v>189</v>
      </c>
      <c r="D4" s="42" t="s">
        <v>102</v>
      </c>
      <c r="E4" s="42" t="s">
        <v>236</v>
      </c>
      <c r="F4" s="42" t="s">
        <v>75</v>
      </c>
      <c r="G4" s="21" t="s">
        <v>109</v>
      </c>
      <c r="H4" s="42" t="s">
        <v>103</v>
      </c>
      <c r="I4" s="42" t="s">
        <v>104</v>
      </c>
      <c r="J4" s="42" t="s">
        <v>237</v>
      </c>
      <c r="K4" s="42" t="s">
        <v>76</v>
      </c>
      <c r="L4" s="42" t="s">
        <v>105</v>
      </c>
      <c r="M4" s="112" t="s">
        <v>255</v>
      </c>
      <c r="N4" s="112" t="s">
        <v>256</v>
      </c>
      <c r="O4" s="1"/>
      <c r="P4" s="1"/>
      <c r="Q4" s="1"/>
      <c r="W4"/>
      <c r="X4"/>
      <c r="Y4"/>
    </row>
    <row r="5" spans="1:25" ht="47.25" x14ac:dyDescent="0.25">
      <c r="C5" s="92">
        <v>5</v>
      </c>
      <c r="D5" s="92" t="s">
        <v>97</v>
      </c>
      <c r="E5" s="93" t="s">
        <v>336</v>
      </c>
      <c r="F5" s="93" t="s">
        <v>298</v>
      </c>
      <c r="G5" s="92">
        <v>13</v>
      </c>
      <c r="H5" s="92">
        <f>IFERROR(VLOOKUP($G5,LGD!$M$5:$N$11,2,0),"")</f>
        <v>40</v>
      </c>
      <c r="I5" s="92" t="s">
        <v>231</v>
      </c>
      <c r="J5" s="92"/>
      <c r="K5" s="92" t="s">
        <v>242</v>
      </c>
      <c r="L5" s="92" t="s">
        <v>50</v>
      </c>
      <c r="M5" s="111"/>
      <c r="N5" s="111"/>
      <c r="O5" s="1"/>
      <c r="P5" s="1"/>
      <c r="Q5" s="1"/>
      <c r="W5"/>
      <c r="X5"/>
      <c r="Y5"/>
    </row>
    <row r="6" spans="1:25" ht="53.25" customHeight="1" x14ac:dyDescent="0.25">
      <c r="C6" s="92" t="s">
        <v>225</v>
      </c>
      <c r="D6" s="92" t="s">
        <v>97</v>
      </c>
      <c r="E6" s="93" t="s">
        <v>337</v>
      </c>
      <c r="F6" s="93" t="s">
        <v>288</v>
      </c>
      <c r="G6" s="92">
        <v>5</v>
      </c>
      <c r="H6" s="92">
        <f>IFERROR(VLOOKUP($G6,LGD!$M$5:$N$11,2,0),"")</f>
        <v>8</v>
      </c>
      <c r="I6" s="144" t="s">
        <v>264</v>
      </c>
      <c r="J6" s="92"/>
      <c r="K6" s="92" t="s">
        <v>242</v>
      </c>
      <c r="L6" s="92" t="s">
        <v>50</v>
      </c>
      <c r="M6" s="111"/>
      <c r="N6" s="111"/>
      <c r="O6" s="1"/>
      <c r="P6" s="1"/>
      <c r="Q6" s="1"/>
      <c r="W6"/>
      <c r="X6"/>
      <c r="Y6"/>
    </row>
    <row r="7" spans="1:25" ht="66.75" customHeight="1" x14ac:dyDescent="0.25">
      <c r="C7" s="92" t="s">
        <v>300</v>
      </c>
      <c r="D7" s="92" t="s">
        <v>97</v>
      </c>
      <c r="E7" s="93" t="s">
        <v>338</v>
      </c>
      <c r="F7" s="93" t="s">
        <v>289</v>
      </c>
      <c r="G7" s="92">
        <v>2</v>
      </c>
      <c r="H7" s="92">
        <f>IFERROR(VLOOKUP($G7,LGD!$M$5:$N$11,2,0),"")</f>
        <v>4</v>
      </c>
      <c r="I7" s="92" t="s">
        <v>49</v>
      </c>
      <c r="J7" s="92"/>
      <c r="K7" s="92" t="s">
        <v>242</v>
      </c>
      <c r="L7" s="92" t="s">
        <v>50</v>
      </c>
      <c r="M7" s="111"/>
      <c r="N7" s="111"/>
      <c r="O7" s="1"/>
      <c r="P7" s="1"/>
      <c r="Q7" s="1"/>
      <c r="W7"/>
      <c r="X7"/>
      <c r="Y7"/>
    </row>
    <row r="8" spans="1:25" ht="63" x14ac:dyDescent="0.25">
      <c r="C8" s="92" t="s">
        <v>301</v>
      </c>
      <c r="D8" s="92" t="s">
        <v>97</v>
      </c>
      <c r="E8" s="93" t="s">
        <v>339</v>
      </c>
      <c r="F8" s="93" t="s">
        <v>290</v>
      </c>
      <c r="G8" s="92">
        <v>2</v>
      </c>
      <c r="H8" s="92">
        <f>IFERROR(VLOOKUP($G8,LGD!$M$5:$N$11,2,0),"")</f>
        <v>4</v>
      </c>
      <c r="I8" s="92" t="s">
        <v>352</v>
      </c>
      <c r="J8" s="92"/>
      <c r="K8" s="92" t="s">
        <v>242</v>
      </c>
      <c r="L8" s="92" t="s">
        <v>50</v>
      </c>
      <c r="M8" s="111"/>
      <c r="N8" s="111"/>
      <c r="O8" s="1"/>
      <c r="P8" s="1"/>
      <c r="Q8" s="1"/>
      <c r="W8"/>
      <c r="X8"/>
      <c r="Y8"/>
    </row>
    <row r="9" spans="1:25" ht="51" customHeight="1" x14ac:dyDescent="0.25">
      <c r="C9" s="92" t="s">
        <v>302</v>
      </c>
      <c r="D9" s="92" t="s">
        <v>97</v>
      </c>
      <c r="E9" s="93" t="s">
        <v>310</v>
      </c>
      <c r="F9" s="93" t="s">
        <v>291</v>
      </c>
      <c r="G9" s="92">
        <v>8</v>
      </c>
      <c r="H9" s="92">
        <f>IFERROR(VLOOKUP($G9,LGD!$M$5:$N$11,2,0),"")</f>
        <v>16</v>
      </c>
      <c r="I9" s="144" t="s">
        <v>235</v>
      </c>
      <c r="J9" s="92"/>
      <c r="K9" s="92" t="s">
        <v>242</v>
      </c>
      <c r="L9" s="92" t="s">
        <v>50</v>
      </c>
      <c r="M9" s="111"/>
      <c r="N9" s="111"/>
      <c r="O9" s="1"/>
      <c r="P9" s="1"/>
      <c r="Q9" s="1"/>
      <c r="W9"/>
      <c r="X9"/>
      <c r="Y9"/>
    </row>
    <row r="10" spans="1:25" ht="53.25" customHeight="1" x14ac:dyDescent="0.25">
      <c r="C10" s="92" t="s">
        <v>303</v>
      </c>
      <c r="D10" s="92" t="s">
        <v>97</v>
      </c>
      <c r="E10" s="93" t="s">
        <v>340</v>
      </c>
      <c r="F10" s="93" t="s">
        <v>292</v>
      </c>
      <c r="G10" s="92">
        <v>5</v>
      </c>
      <c r="H10" s="92">
        <f>IFERROR(VLOOKUP($G10,LGD!$M$5:$N$11,2,0),"")</f>
        <v>8</v>
      </c>
      <c r="I10" s="144" t="s">
        <v>353</v>
      </c>
      <c r="J10" s="92"/>
      <c r="K10" s="92" t="s">
        <v>242</v>
      </c>
      <c r="L10" s="92" t="s">
        <v>50</v>
      </c>
      <c r="M10" s="111"/>
      <c r="N10" s="111"/>
      <c r="O10" s="1"/>
      <c r="P10" s="1"/>
      <c r="Q10" s="1"/>
      <c r="W10"/>
      <c r="X10"/>
      <c r="Y10"/>
    </row>
    <row r="11" spans="1:25" ht="47.25" x14ac:dyDescent="0.25">
      <c r="C11" s="92" t="s">
        <v>226</v>
      </c>
      <c r="D11" s="92" t="s">
        <v>97</v>
      </c>
      <c r="E11" s="93" t="s">
        <v>341</v>
      </c>
      <c r="F11" s="93" t="s">
        <v>293</v>
      </c>
      <c r="G11" s="92">
        <v>13</v>
      </c>
      <c r="H11" s="92">
        <f>IFERROR(VLOOKUP($G11,LGD!$M$5:$N$11,2,0),"")</f>
        <v>40</v>
      </c>
      <c r="I11" s="144" t="s">
        <v>354</v>
      </c>
      <c r="J11" s="92"/>
      <c r="K11" s="92" t="s">
        <v>243</v>
      </c>
      <c r="L11" s="92" t="s">
        <v>50</v>
      </c>
      <c r="M11" s="111"/>
      <c r="N11" s="111"/>
      <c r="O11" s="1"/>
      <c r="P11" s="1"/>
      <c r="Q11" s="1"/>
      <c r="W11"/>
      <c r="X11"/>
      <c r="Y11"/>
    </row>
    <row r="12" spans="1:25" ht="63" x14ac:dyDescent="0.25">
      <c r="C12" s="92" t="s">
        <v>304</v>
      </c>
      <c r="D12" s="92" t="s">
        <v>97</v>
      </c>
      <c r="E12" s="93" t="s">
        <v>311</v>
      </c>
      <c r="F12" s="93" t="s">
        <v>294</v>
      </c>
      <c r="G12" s="92">
        <v>13</v>
      </c>
      <c r="H12" s="92">
        <f>IFERROR(VLOOKUP($G12,LGD!$M$5:$N$11,2,0),"")</f>
        <v>40</v>
      </c>
      <c r="I12" s="144" t="s">
        <v>354</v>
      </c>
      <c r="J12" s="92"/>
      <c r="K12" s="92" t="s">
        <v>243</v>
      </c>
      <c r="L12" s="92" t="s">
        <v>50</v>
      </c>
      <c r="M12" s="111"/>
      <c r="N12" s="111"/>
      <c r="O12" s="1"/>
      <c r="P12" s="1"/>
      <c r="Q12" s="1"/>
      <c r="W12"/>
      <c r="X12"/>
      <c r="Y12"/>
    </row>
    <row r="13" spans="1:25" ht="63" x14ac:dyDescent="0.25">
      <c r="C13" s="92" t="s">
        <v>305</v>
      </c>
      <c r="D13" s="92" t="s">
        <v>97</v>
      </c>
      <c r="E13" s="93" t="s">
        <v>312</v>
      </c>
      <c r="F13" s="93" t="s">
        <v>295</v>
      </c>
      <c r="G13" s="92">
        <v>8</v>
      </c>
      <c r="H13" s="92">
        <f>IFERROR(VLOOKUP($G13,LGD!$M$5:$N$11,2,0),"")</f>
        <v>16</v>
      </c>
      <c r="I13" s="144" t="s">
        <v>354</v>
      </c>
      <c r="J13" s="92"/>
      <c r="K13" s="92" t="s">
        <v>243</v>
      </c>
      <c r="L13" s="92" t="s">
        <v>50</v>
      </c>
      <c r="M13" s="111"/>
      <c r="N13" s="111"/>
      <c r="O13" s="1"/>
      <c r="P13" s="1"/>
      <c r="Q13" s="1"/>
      <c r="W13"/>
      <c r="X13"/>
      <c r="Y13"/>
    </row>
    <row r="14" spans="1:25" ht="49.5" customHeight="1" x14ac:dyDescent="0.25">
      <c r="C14" s="92" t="s">
        <v>306</v>
      </c>
      <c r="D14" s="92" t="s">
        <v>97</v>
      </c>
      <c r="E14" s="93" t="s">
        <v>313</v>
      </c>
      <c r="F14" s="93" t="s">
        <v>296</v>
      </c>
      <c r="G14" s="92">
        <v>8</v>
      </c>
      <c r="H14" s="92">
        <f>IFERROR(VLOOKUP($G14,LGD!$M$5:$N$11,2,0),"")</f>
        <v>16</v>
      </c>
      <c r="I14" s="144" t="s">
        <v>354</v>
      </c>
      <c r="J14" s="92"/>
      <c r="K14" s="92" t="s">
        <v>243</v>
      </c>
      <c r="L14" s="92" t="s">
        <v>50</v>
      </c>
      <c r="M14" s="111"/>
      <c r="N14" s="111"/>
      <c r="O14" s="1"/>
      <c r="P14" s="1"/>
      <c r="Q14" s="1"/>
      <c r="W14"/>
      <c r="X14"/>
      <c r="Y14"/>
    </row>
    <row r="15" spans="1:25" ht="63" x14ac:dyDescent="0.25">
      <c r="C15" s="92" t="s">
        <v>307</v>
      </c>
      <c r="D15" s="92" t="s">
        <v>97</v>
      </c>
      <c r="E15" s="93" t="s">
        <v>314</v>
      </c>
      <c r="F15" s="93" t="s">
        <v>297</v>
      </c>
      <c r="G15" s="92">
        <v>8</v>
      </c>
      <c r="H15" s="92">
        <f>IFERROR(VLOOKUP($G15,LGD!$M$5:$N$11,2,0),"")</f>
        <v>16</v>
      </c>
      <c r="I15" s="144" t="s">
        <v>354</v>
      </c>
      <c r="J15" s="92"/>
      <c r="K15" s="92" t="s">
        <v>243</v>
      </c>
      <c r="L15" s="92" t="s">
        <v>50</v>
      </c>
      <c r="M15" s="111"/>
      <c r="N15" s="111"/>
      <c r="O15" s="1"/>
      <c r="P15" s="1"/>
      <c r="Q15" s="1"/>
      <c r="W15"/>
      <c r="X15"/>
      <c r="Y15"/>
    </row>
    <row r="16" spans="1:25" ht="63" x14ac:dyDescent="0.25">
      <c r="C16" s="92" t="s">
        <v>227</v>
      </c>
      <c r="D16" s="92" t="s">
        <v>97</v>
      </c>
      <c r="E16" s="93" t="s">
        <v>213</v>
      </c>
      <c r="F16" s="93" t="s">
        <v>171</v>
      </c>
      <c r="G16" s="92">
        <v>5</v>
      </c>
      <c r="H16" s="92">
        <f>IFERROR(VLOOKUP($G16,LGD!$M$5:$N$11,2,0),"")</f>
        <v>8</v>
      </c>
      <c r="I16" s="92" t="s">
        <v>48</v>
      </c>
      <c r="J16" s="92"/>
      <c r="K16" s="92" t="s">
        <v>243</v>
      </c>
      <c r="L16" s="92" t="s">
        <v>50</v>
      </c>
      <c r="M16" s="111"/>
      <c r="N16" s="111"/>
      <c r="O16" s="1"/>
      <c r="P16" s="1"/>
      <c r="Q16" s="1"/>
      <c r="W16"/>
      <c r="X16"/>
      <c r="Y16"/>
    </row>
    <row r="17" spans="3:25" ht="63" x14ac:dyDescent="0.25">
      <c r="C17" s="92" t="s">
        <v>228</v>
      </c>
      <c r="D17" s="92" t="s">
        <v>97</v>
      </c>
      <c r="E17" s="93" t="s">
        <v>214</v>
      </c>
      <c r="F17" s="93" t="s">
        <v>172</v>
      </c>
      <c r="G17" s="92">
        <v>5</v>
      </c>
      <c r="H17" s="92">
        <f>IFERROR(VLOOKUP($G17,LGD!$M$5:$N$11,2,0),"")</f>
        <v>8</v>
      </c>
      <c r="I17" s="92" t="s">
        <v>48</v>
      </c>
      <c r="J17" s="92"/>
      <c r="K17" s="92" t="s">
        <v>243</v>
      </c>
      <c r="L17" s="92" t="s">
        <v>50</v>
      </c>
      <c r="M17" s="111"/>
      <c r="N17" s="111"/>
      <c r="O17" s="1"/>
      <c r="P17" s="1"/>
      <c r="Q17" s="1"/>
      <c r="W17"/>
      <c r="X17"/>
      <c r="Y17"/>
    </row>
    <row r="18" spans="3:25" ht="63" x14ac:dyDescent="0.25">
      <c r="C18" s="92" t="s">
        <v>229</v>
      </c>
      <c r="D18" s="92" t="s">
        <v>97</v>
      </c>
      <c r="E18" s="93" t="s">
        <v>309</v>
      </c>
      <c r="F18" s="93" t="s">
        <v>299</v>
      </c>
      <c r="G18" s="92">
        <v>5</v>
      </c>
      <c r="H18" s="92">
        <f>IFERROR(VLOOKUP($G18,LGD!$M$5:$N$11,2,0),"")</f>
        <v>8</v>
      </c>
      <c r="I18" s="92" t="s">
        <v>48</v>
      </c>
      <c r="J18" s="92"/>
      <c r="K18" s="92" t="s">
        <v>243</v>
      </c>
      <c r="L18" s="92" t="s">
        <v>50</v>
      </c>
      <c r="M18" s="111"/>
      <c r="N18" s="111"/>
      <c r="O18" s="1"/>
      <c r="P18" s="1"/>
      <c r="Q18" s="1"/>
      <c r="W18"/>
      <c r="X18"/>
      <c r="Y18"/>
    </row>
    <row r="19" spans="3:25" ht="47.25" x14ac:dyDescent="0.25">
      <c r="C19" s="92" t="s">
        <v>230</v>
      </c>
      <c r="D19" s="92" t="s">
        <v>97</v>
      </c>
      <c r="E19" s="93" t="s">
        <v>215</v>
      </c>
      <c r="F19" s="93" t="s">
        <v>174</v>
      </c>
      <c r="G19" s="92">
        <v>5</v>
      </c>
      <c r="H19" s="92">
        <f>IFERROR(VLOOKUP($G19,LGD!$M$5:$N$11,2,0),"")</f>
        <v>8</v>
      </c>
      <c r="I19" s="92" t="s">
        <v>48</v>
      </c>
      <c r="J19" s="92"/>
      <c r="K19" s="92" t="s">
        <v>243</v>
      </c>
      <c r="L19" s="92" t="s">
        <v>50</v>
      </c>
      <c r="M19" s="111"/>
      <c r="N19" s="111"/>
      <c r="O19" s="1"/>
      <c r="P19" s="1"/>
      <c r="Q19" s="1"/>
      <c r="W19"/>
      <c r="X19"/>
      <c r="Y19"/>
    </row>
    <row r="20" spans="3:25" ht="47.25" x14ac:dyDescent="0.25">
      <c r="C20" s="92">
        <v>8</v>
      </c>
      <c r="D20" s="92" t="s">
        <v>98</v>
      </c>
      <c r="E20" s="93" t="s">
        <v>266</v>
      </c>
      <c r="F20" s="93" t="s">
        <v>267</v>
      </c>
      <c r="G20" s="92"/>
      <c r="H20" s="92" t="str">
        <f>IFERROR(VLOOKUP($G20,LGD!$M$5:$N$11,2,0),"")</f>
        <v/>
      </c>
      <c r="I20" s="92"/>
      <c r="J20" s="92"/>
      <c r="K20" s="92"/>
      <c r="L20" s="92" t="s">
        <v>50</v>
      </c>
      <c r="M20" s="111"/>
      <c r="N20" s="111"/>
      <c r="O20" s="1"/>
      <c r="P20" s="1"/>
      <c r="Q20" s="1"/>
      <c r="W20"/>
      <c r="X20"/>
      <c r="Y20"/>
    </row>
    <row r="21" spans="3:25" ht="47.25" x14ac:dyDescent="0.25">
      <c r="C21" s="92" t="s">
        <v>275</v>
      </c>
      <c r="D21" s="92" t="s">
        <v>98</v>
      </c>
      <c r="E21" s="93" t="s">
        <v>277</v>
      </c>
      <c r="F21" s="93" t="s">
        <v>268</v>
      </c>
      <c r="G21" s="92"/>
      <c r="H21" s="92" t="str">
        <f>IFERROR(VLOOKUP($G21,LGD!$M$5:$N$11,2,0),"")</f>
        <v/>
      </c>
      <c r="I21" s="92"/>
      <c r="J21" s="92"/>
      <c r="K21" s="92"/>
      <c r="L21" s="92" t="s">
        <v>50</v>
      </c>
      <c r="M21" s="111"/>
      <c r="N21" s="111"/>
      <c r="O21" s="1"/>
      <c r="P21" s="1"/>
      <c r="Q21" s="1"/>
      <c r="W21"/>
      <c r="X21"/>
      <c r="Y21"/>
    </row>
    <row r="22" spans="3:25" ht="47.25" x14ac:dyDescent="0.25">
      <c r="C22" s="92" t="s">
        <v>276</v>
      </c>
      <c r="D22" s="92" t="s">
        <v>98</v>
      </c>
      <c r="E22" s="93" t="s">
        <v>278</v>
      </c>
      <c r="F22" s="93" t="s">
        <v>269</v>
      </c>
      <c r="G22" s="92"/>
      <c r="H22" s="92" t="str">
        <f>IFERROR(VLOOKUP($G22,LGD!$M$5:$N$11,2,0),"")</f>
        <v/>
      </c>
      <c r="I22" s="92"/>
      <c r="J22" s="92"/>
      <c r="K22" s="92"/>
      <c r="L22" s="92" t="s">
        <v>50</v>
      </c>
      <c r="M22" s="111"/>
      <c r="N22" s="111"/>
      <c r="O22" s="1"/>
      <c r="P22" s="1"/>
      <c r="Q22" s="1"/>
      <c r="W22"/>
      <c r="X22"/>
      <c r="Y22"/>
    </row>
    <row r="23" spans="3:25" ht="47.25" x14ac:dyDescent="0.25">
      <c r="C23" s="92">
        <v>9</v>
      </c>
      <c r="D23" s="92" t="s">
        <v>98</v>
      </c>
      <c r="E23" s="93" t="s">
        <v>284</v>
      </c>
      <c r="F23" s="93" t="s">
        <v>270</v>
      </c>
      <c r="G23" s="92"/>
      <c r="H23" s="92" t="str">
        <f>IFERROR(VLOOKUP($G23,LGD!$M$5:$N$11,2,0),"")</f>
        <v/>
      </c>
      <c r="I23" s="92"/>
      <c r="J23" s="92"/>
      <c r="K23" s="92"/>
      <c r="L23" s="92" t="s">
        <v>50</v>
      </c>
      <c r="M23" s="111"/>
      <c r="N23" s="111"/>
      <c r="O23" s="1"/>
      <c r="P23" s="1"/>
      <c r="Q23" s="1"/>
      <c r="W23"/>
      <c r="X23"/>
      <c r="Y23"/>
    </row>
    <row r="24" spans="3:25" ht="47.25" x14ac:dyDescent="0.25">
      <c r="C24" s="92" t="s">
        <v>279</v>
      </c>
      <c r="D24" s="92" t="s">
        <v>98</v>
      </c>
      <c r="E24" s="93" t="s">
        <v>283</v>
      </c>
      <c r="F24" s="93" t="s">
        <v>271</v>
      </c>
      <c r="G24" s="92"/>
      <c r="H24" s="92" t="str">
        <f>IFERROR(VLOOKUP($G24,LGD!$M$5:$N$11,2,0),"")</f>
        <v/>
      </c>
      <c r="I24" s="92"/>
      <c r="J24" s="92"/>
      <c r="K24" s="92"/>
      <c r="L24" s="92" t="s">
        <v>50</v>
      </c>
      <c r="M24" s="111"/>
      <c r="N24" s="111"/>
      <c r="O24" s="1"/>
      <c r="P24" s="1"/>
      <c r="Q24" s="1"/>
      <c r="W24"/>
      <c r="X24"/>
      <c r="Y24"/>
    </row>
    <row r="25" spans="3:25" ht="47.25" x14ac:dyDescent="0.25">
      <c r="C25" s="92" t="s">
        <v>280</v>
      </c>
      <c r="D25" s="92" t="s">
        <v>98</v>
      </c>
      <c r="E25" s="93" t="s">
        <v>285</v>
      </c>
      <c r="F25" s="93" t="s">
        <v>272</v>
      </c>
      <c r="G25" s="92"/>
      <c r="H25" s="92" t="str">
        <f>IFERROR(VLOOKUP($G25,LGD!$M$5:$N$11,2,0),"")</f>
        <v/>
      </c>
      <c r="I25" s="92"/>
      <c r="J25" s="92"/>
      <c r="K25" s="92"/>
      <c r="L25" s="92" t="s">
        <v>50</v>
      </c>
      <c r="M25" s="111"/>
      <c r="N25" s="111"/>
      <c r="O25" s="1"/>
      <c r="P25" s="1"/>
      <c r="Q25" s="1"/>
      <c r="W25"/>
      <c r="X25"/>
      <c r="Y25"/>
    </row>
    <row r="26" spans="3:25" ht="47.25" x14ac:dyDescent="0.25">
      <c r="C26" s="92" t="s">
        <v>281</v>
      </c>
      <c r="D26" s="92" t="s">
        <v>98</v>
      </c>
      <c r="E26" s="93" t="s">
        <v>286</v>
      </c>
      <c r="F26" s="93" t="s">
        <v>273</v>
      </c>
      <c r="G26" s="92"/>
      <c r="H26" s="92" t="str">
        <f>IFERROR(VLOOKUP($G26,LGD!$M$5:$N$11,2,0),"")</f>
        <v/>
      </c>
      <c r="I26" s="92"/>
      <c r="J26" s="92"/>
      <c r="K26" s="92"/>
      <c r="L26" s="92" t="s">
        <v>50</v>
      </c>
      <c r="M26" s="111"/>
      <c r="N26" s="111"/>
      <c r="O26" s="1"/>
      <c r="P26" s="1"/>
      <c r="Q26" s="1"/>
      <c r="W26"/>
      <c r="X26"/>
      <c r="Y26"/>
    </row>
    <row r="27" spans="3:25" ht="47.25" x14ac:dyDescent="0.25">
      <c r="C27" s="92" t="s">
        <v>282</v>
      </c>
      <c r="D27" s="92" t="s">
        <v>98</v>
      </c>
      <c r="E27" s="93" t="s">
        <v>287</v>
      </c>
      <c r="F27" s="93" t="s">
        <v>274</v>
      </c>
      <c r="G27" s="92"/>
      <c r="H27" s="92" t="str">
        <f>IFERROR(VLOOKUP($G27,LGD!$M$5:$N$11,2,0),"")</f>
        <v/>
      </c>
      <c r="I27" s="92"/>
      <c r="J27" s="92"/>
      <c r="K27" s="92"/>
      <c r="L27" s="92" t="s">
        <v>50</v>
      </c>
      <c r="M27" s="111"/>
      <c r="N27" s="111"/>
      <c r="O27" s="1"/>
      <c r="P27" s="1"/>
      <c r="Q27" s="1"/>
      <c r="W27"/>
      <c r="X27"/>
      <c r="Y27"/>
    </row>
    <row r="28" spans="3:25" ht="47.25" x14ac:dyDescent="0.25">
      <c r="C28" s="92">
        <v>0</v>
      </c>
      <c r="D28" s="92" t="s">
        <v>95</v>
      </c>
      <c r="E28" s="93" t="s">
        <v>175</v>
      </c>
      <c r="F28" s="93" t="s">
        <v>139</v>
      </c>
      <c r="G28" s="92">
        <v>8</v>
      </c>
      <c r="H28" s="92">
        <f>IFERROR(VLOOKUP($G28,LGD!$M$5:$N$11,2,0),"")</f>
        <v>16</v>
      </c>
      <c r="I28" s="92" t="s">
        <v>231</v>
      </c>
      <c r="J28" s="92" t="s">
        <v>239</v>
      </c>
      <c r="K28" s="92" t="s">
        <v>242</v>
      </c>
      <c r="L28" s="92" t="s">
        <v>46</v>
      </c>
      <c r="M28" s="111">
        <v>44266</v>
      </c>
      <c r="N28" s="111">
        <v>44273</v>
      </c>
      <c r="O28" s="1"/>
      <c r="P28" s="1"/>
      <c r="Q28" s="1"/>
      <c r="W28"/>
      <c r="X28"/>
      <c r="Y28"/>
    </row>
    <row r="29" spans="3:25" ht="47.25" x14ac:dyDescent="0.25">
      <c r="C29" s="92" t="s">
        <v>190</v>
      </c>
      <c r="D29" s="92" t="s">
        <v>95</v>
      </c>
      <c r="E29" s="93" t="s">
        <v>176</v>
      </c>
      <c r="F29" s="93" t="s">
        <v>140</v>
      </c>
      <c r="G29" s="92">
        <v>5</v>
      </c>
      <c r="H29" s="92">
        <f>IFERROR(VLOOKUP($G29,LGD!$M$5:$N$11,2,0),"")</f>
        <v>8</v>
      </c>
      <c r="I29" s="92" t="s">
        <v>231</v>
      </c>
      <c r="J29" s="92" t="s">
        <v>239</v>
      </c>
      <c r="K29" s="92" t="s">
        <v>242</v>
      </c>
      <c r="L29" s="92" t="s">
        <v>46</v>
      </c>
      <c r="M29" s="111">
        <v>44266</v>
      </c>
      <c r="N29" s="111">
        <v>44273</v>
      </c>
      <c r="O29" s="1"/>
      <c r="P29" s="1"/>
      <c r="Q29" s="1"/>
      <c r="W29"/>
      <c r="X29"/>
      <c r="Y29"/>
    </row>
    <row r="30" spans="3:25" ht="31.5" x14ac:dyDescent="0.25">
      <c r="C30" s="123">
        <v>4</v>
      </c>
      <c r="D30" s="123" t="s">
        <v>95</v>
      </c>
      <c r="E30" s="124" t="s">
        <v>180</v>
      </c>
      <c r="F30" s="124" t="s">
        <v>144</v>
      </c>
      <c r="G30" s="123">
        <v>3</v>
      </c>
      <c r="H30" s="123">
        <f>IFERROR(VLOOKUP($G30,LGD!$M$5:$N$11,2,0),"")</f>
        <v>6</v>
      </c>
      <c r="I30" s="127" t="s">
        <v>264</v>
      </c>
      <c r="J30" s="123" t="s">
        <v>240</v>
      </c>
      <c r="K30" s="92" t="s">
        <v>242</v>
      </c>
      <c r="L30" s="123" t="s">
        <v>46</v>
      </c>
      <c r="M30" s="125">
        <v>44277</v>
      </c>
      <c r="N30" s="125">
        <v>44281</v>
      </c>
      <c r="O30" s="1"/>
      <c r="P30" s="1"/>
      <c r="Q30" s="1"/>
      <c r="W30"/>
      <c r="X30"/>
      <c r="Y30"/>
    </row>
    <row r="31" spans="3:25" ht="63" x14ac:dyDescent="0.25">
      <c r="C31" s="92" t="s">
        <v>195</v>
      </c>
      <c r="D31" s="92" t="s">
        <v>95</v>
      </c>
      <c r="E31" s="93" t="s">
        <v>183</v>
      </c>
      <c r="F31" s="93" t="s">
        <v>147</v>
      </c>
      <c r="G31" s="92">
        <v>3</v>
      </c>
      <c r="H31" s="92">
        <f>IFERROR(VLOOKUP($G31,LGD!$M$5:$N$11,2,0),"")</f>
        <v>6</v>
      </c>
      <c r="I31" s="127" t="s">
        <v>264</v>
      </c>
      <c r="J31" s="92" t="s">
        <v>240</v>
      </c>
      <c r="K31" s="92" t="s">
        <v>242</v>
      </c>
      <c r="L31" s="92" t="s">
        <v>46</v>
      </c>
      <c r="M31" s="125">
        <v>44277</v>
      </c>
      <c r="N31" s="125">
        <v>44281</v>
      </c>
      <c r="O31" s="1"/>
      <c r="P31" s="1"/>
      <c r="Q31" s="1"/>
      <c r="W31"/>
      <c r="X31"/>
      <c r="Y31"/>
    </row>
    <row r="32" spans="3:25" ht="47.25" x14ac:dyDescent="0.25">
      <c r="C32" s="92" t="s">
        <v>197</v>
      </c>
      <c r="D32" s="92" t="s">
        <v>95</v>
      </c>
      <c r="E32" s="93" t="s">
        <v>185</v>
      </c>
      <c r="F32" s="93" t="s">
        <v>150</v>
      </c>
      <c r="G32" s="92">
        <v>1</v>
      </c>
      <c r="H32" s="92">
        <f>IFERROR(VLOOKUP($G32,LGD!$M$5:$N$11,2,0),"")</f>
        <v>1</v>
      </c>
      <c r="I32" s="92" t="s">
        <v>49</v>
      </c>
      <c r="J32" s="92" t="s">
        <v>240</v>
      </c>
      <c r="K32" s="92" t="s">
        <v>242</v>
      </c>
      <c r="L32" s="92" t="s">
        <v>46</v>
      </c>
      <c r="M32" s="111">
        <v>44280</v>
      </c>
      <c r="N32" s="111">
        <v>44280</v>
      </c>
      <c r="O32" s="1"/>
      <c r="P32" s="1"/>
      <c r="Q32" s="1"/>
      <c r="W32"/>
      <c r="X32"/>
      <c r="Y32"/>
    </row>
    <row r="33" spans="3:25" ht="47.25" x14ac:dyDescent="0.25">
      <c r="C33" s="92" t="s">
        <v>198</v>
      </c>
      <c r="D33" s="92" t="s">
        <v>95</v>
      </c>
      <c r="E33" s="93" t="s">
        <v>186</v>
      </c>
      <c r="F33" s="93" t="s">
        <v>151</v>
      </c>
      <c r="G33" s="92">
        <v>1</v>
      </c>
      <c r="H33" s="92">
        <f>IFERROR(VLOOKUP($G33,LGD!$M$5:$N$11,2,0),"")</f>
        <v>1</v>
      </c>
      <c r="I33" s="92" t="s">
        <v>49</v>
      </c>
      <c r="J33" s="92" t="s">
        <v>240</v>
      </c>
      <c r="K33" s="92" t="s">
        <v>242</v>
      </c>
      <c r="L33" s="92" t="s">
        <v>46</v>
      </c>
      <c r="M33" s="111">
        <v>44280</v>
      </c>
      <c r="N33" s="111">
        <v>44280</v>
      </c>
      <c r="O33" s="1"/>
      <c r="P33" s="1"/>
      <c r="Q33" s="1"/>
      <c r="W33"/>
      <c r="X33"/>
      <c r="Y33"/>
    </row>
    <row r="34" spans="3:25" ht="47.25" x14ac:dyDescent="0.25">
      <c r="C34" s="92" t="s">
        <v>199</v>
      </c>
      <c r="D34" s="92" t="s">
        <v>95</v>
      </c>
      <c r="E34" s="93" t="s">
        <v>187</v>
      </c>
      <c r="F34" s="93" t="s">
        <v>152</v>
      </c>
      <c r="G34" s="92">
        <v>1</v>
      </c>
      <c r="H34" s="92">
        <f>IFERROR(VLOOKUP($G34,LGD!$M$5:$N$11,2,0),"")</f>
        <v>1</v>
      </c>
      <c r="I34" s="92" t="s">
        <v>49</v>
      </c>
      <c r="J34" s="92" t="s">
        <v>240</v>
      </c>
      <c r="K34" s="92" t="s">
        <v>242</v>
      </c>
      <c r="L34" s="92" t="s">
        <v>46</v>
      </c>
      <c r="M34" s="111">
        <v>44280</v>
      </c>
      <c r="N34" s="111">
        <v>44280</v>
      </c>
      <c r="O34" s="1"/>
      <c r="P34" s="1"/>
      <c r="Q34" s="1"/>
      <c r="W34"/>
      <c r="X34"/>
      <c r="Y34"/>
    </row>
    <row r="35" spans="3:25" ht="47.25" x14ac:dyDescent="0.25">
      <c r="C35" s="92" t="s">
        <v>200</v>
      </c>
      <c r="D35" s="92" t="s">
        <v>95</v>
      </c>
      <c r="E35" s="93" t="s">
        <v>188</v>
      </c>
      <c r="F35" s="93" t="s">
        <v>153</v>
      </c>
      <c r="G35" s="92"/>
      <c r="H35" s="92" t="str">
        <f>IFERROR(VLOOKUP($G35,LGD!$M$5:$N$11,2,0),"")</f>
        <v/>
      </c>
      <c r="I35" s="92" t="s">
        <v>49</v>
      </c>
      <c r="J35" s="92" t="s">
        <v>240</v>
      </c>
      <c r="K35" s="92" t="s">
        <v>242</v>
      </c>
      <c r="L35" s="92" t="s">
        <v>46</v>
      </c>
      <c r="M35" s="111">
        <v>44280</v>
      </c>
      <c r="N35" s="111">
        <v>44280</v>
      </c>
      <c r="O35" s="1"/>
      <c r="P35" s="1"/>
      <c r="Q35" s="1"/>
      <c r="W35"/>
      <c r="X35"/>
      <c r="Y35"/>
    </row>
    <row r="36" spans="3:25" ht="47.25" x14ac:dyDescent="0.25">
      <c r="C36" s="92" t="s">
        <v>193</v>
      </c>
      <c r="D36" s="92" t="s">
        <v>95</v>
      </c>
      <c r="E36" s="93" t="s">
        <v>181</v>
      </c>
      <c r="F36" s="93" t="s">
        <v>145</v>
      </c>
      <c r="G36" s="92">
        <v>3</v>
      </c>
      <c r="H36" s="92">
        <f>IFERROR(VLOOKUP($G36,LGD!$M$5:$N$11,2,0),"")</f>
        <v>6</v>
      </c>
      <c r="I36" s="127" t="s">
        <v>264</v>
      </c>
      <c r="J36" s="92" t="s">
        <v>241</v>
      </c>
      <c r="K36" s="92" t="s">
        <v>242</v>
      </c>
      <c r="L36" s="92" t="s">
        <v>46</v>
      </c>
      <c r="M36" s="125">
        <v>44277</v>
      </c>
      <c r="N36" s="125">
        <v>44281</v>
      </c>
      <c r="O36" s="1"/>
      <c r="P36" s="1"/>
      <c r="Q36" s="1"/>
      <c r="W36"/>
      <c r="X36"/>
      <c r="Y36"/>
    </row>
    <row r="37" spans="3:25" ht="31.5" x14ac:dyDescent="0.25">
      <c r="C37" s="92" t="s">
        <v>194</v>
      </c>
      <c r="D37" s="92" t="s">
        <v>95</v>
      </c>
      <c r="E37" s="93" t="s">
        <v>182</v>
      </c>
      <c r="F37" s="93" t="s">
        <v>146</v>
      </c>
      <c r="G37" s="92">
        <v>3</v>
      </c>
      <c r="H37" s="92">
        <f>IFERROR(VLOOKUP($G37,LGD!$M$5:$N$11,2,0),"")</f>
        <v>6</v>
      </c>
      <c r="I37" s="127" t="s">
        <v>264</v>
      </c>
      <c r="J37" s="92" t="s">
        <v>241</v>
      </c>
      <c r="K37" s="92" t="s">
        <v>242</v>
      </c>
      <c r="L37" s="92" t="s">
        <v>46</v>
      </c>
      <c r="M37" s="125">
        <v>44277</v>
      </c>
      <c r="N37" s="125">
        <v>44281</v>
      </c>
      <c r="O37" s="1"/>
      <c r="P37" s="1"/>
      <c r="Q37" s="1"/>
      <c r="W37"/>
      <c r="X37"/>
      <c r="Y37"/>
    </row>
    <row r="38" spans="3:25" ht="47.25" x14ac:dyDescent="0.25">
      <c r="C38" s="92" t="s">
        <v>196</v>
      </c>
      <c r="D38" s="92" t="s">
        <v>95</v>
      </c>
      <c r="E38" s="93" t="s">
        <v>184</v>
      </c>
      <c r="F38" s="93" t="s">
        <v>148</v>
      </c>
      <c r="G38" s="92">
        <v>3</v>
      </c>
      <c r="H38" s="92">
        <f>IFERROR(VLOOKUP($G38,LGD!$M$5:$N$11,2,0),"")</f>
        <v>6</v>
      </c>
      <c r="I38" s="127" t="s">
        <v>264</v>
      </c>
      <c r="J38" s="92" t="s">
        <v>241</v>
      </c>
      <c r="K38" s="92" t="s">
        <v>242</v>
      </c>
      <c r="L38" s="92" t="s">
        <v>46</v>
      </c>
      <c r="M38" s="125">
        <v>44277</v>
      </c>
      <c r="N38" s="125">
        <v>44281</v>
      </c>
      <c r="O38" s="1"/>
      <c r="P38" s="1"/>
      <c r="Q38" s="1"/>
      <c r="W38"/>
      <c r="X38"/>
      <c r="Y38"/>
    </row>
    <row r="39" spans="3:25" ht="47.25" x14ac:dyDescent="0.25">
      <c r="C39" s="92">
        <v>3</v>
      </c>
      <c r="D39" s="92" t="s">
        <v>95</v>
      </c>
      <c r="E39" s="93" t="s">
        <v>177</v>
      </c>
      <c r="F39" s="93" t="s">
        <v>141</v>
      </c>
      <c r="G39" s="92">
        <v>8</v>
      </c>
      <c r="H39" s="92">
        <f>IFERROR(VLOOKUP($G39,LGD!$M$5:$N$11,2,0),"")</f>
        <v>16</v>
      </c>
      <c r="I39" s="92" t="s">
        <v>231</v>
      </c>
      <c r="J39" s="92" t="s">
        <v>241</v>
      </c>
      <c r="K39" s="92" t="s">
        <v>243</v>
      </c>
      <c r="L39" s="92" t="s">
        <v>46</v>
      </c>
      <c r="M39" s="111">
        <v>44270</v>
      </c>
      <c r="N39" s="111">
        <v>44280</v>
      </c>
      <c r="O39" s="1"/>
      <c r="P39" s="1"/>
      <c r="Q39" s="1"/>
      <c r="W39"/>
      <c r="X39"/>
      <c r="Y39"/>
    </row>
    <row r="40" spans="3:25" ht="47.25" x14ac:dyDescent="0.25">
      <c r="C40" s="92" t="s">
        <v>191</v>
      </c>
      <c r="D40" s="92" t="s">
        <v>95</v>
      </c>
      <c r="E40" s="93" t="s">
        <v>178</v>
      </c>
      <c r="F40" s="93" t="s">
        <v>142</v>
      </c>
      <c r="G40" s="92">
        <v>2</v>
      </c>
      <c r="H40" s="92">
        <f>IFERROR(VLOOKUP($G40,LGD!$M$5:$N$11,2,0),"")</f>
        <v>4</v>
      </c>
      <c r="I40" s="92" t="s">
        <v>231</v>
      </c>
      <c r="J40" s="92" t="s">
        <v>241</v>
      </c>
      <c r="K40" s="92" t="s">
        <v>243</v>
      </c>
      <c r="L40" s="92" t="s">
        <v>46</v>
      </c>
      <c r="M40" s="111">
        <v>44270</v>
      </c>
      <c r="N40" s="111">
        <v>44273</v>
      </c>
      <c r="O40" s="1"/>
      <c r="P40" s="1"/>
      <c r="Q40" s="1"/>
      <c r="W40"/>
      <c r="X40"/>
      <c r="Y40"/>
    </row>
    <row r="41" spans="3:25" ht="47.25" x14ac:dyDescent="0.25">
      <c r="C41" s="92" t="s">
        <v>192</v>
      </c>
      <c r="D41" s="92" t="s">
        <v>95</v>
      </c>
      <c r="E41" s="93" t="s">
        <v>179</v>
      </c>
      <c r="F41" s="93" t="s">
        <v>143</v>
      </c>
      <c r="G41" s="92">
        <v>5</v>
      </c>
      <c r="H41" s="92">
        <f>IFERROR(VLOOKUP($G41,LGD!$M$5:$N$11,2,0),"")</f>
        <v>8</v>
      </c>
      <c r="I41" s="92" t="s">
        <v>48</v>
      </c>
      <c r="J41" s="92" t="s">
        <v>241</v>
      </c>
      <c r="K41" s="92" t="s">
        <v>243</v>
      </c>
      <c r="L41" s="92" t="s">
        <v>46</v>
      </c>
      <c r="M41" s="111">
        <v>44279</v>
      </c>
      <c r="N41" s="111">
        <v>44280</v>
      </c>
      <c r="O41" s="1"/>
      <c r="P41" s="1"/>
      <c r="Q41" s="1"/>
      <c r="W41"/>
      <c r="X41"/>
      <c r="Y41"/>
    </row>
    <row r="42" spans="3:25" ht="94.5" x14ac:dyDescent="0.25">
      <c r="C42" s="92">
        <v>1</v>
      </c>
      <c r="D42" s="92" t="s">
        <v>96</v>
      </c>
      <c r="E42" s="93" t="s">
        <v>201</v>
      </c>
      <c r="F42" s="93" t="s">
        <v>154</v>
      </c>
      <c r="G42" s="92">
        <v>5</v>
      </c>
      <c r="H42" s="92">
        <f>IFERROR(VLOOKUP($G42,LGD!$M$5:$N$11,2,0),"")</f>
        <v>8</v>
      </c>
      <c r="I42" s="92" t="s">
        <v>231</v>
      </c>
      <c r="J42" s="92"/>
      <c r="K42" s="92"/>
      <c r="L42" s="92" t="s">
        <v>46</v>
      </c>
      <c r="M42" s="111">
        <v>44288</v>
      </c>
      <c r="N42" s="111">
        <v>44299</v>
      </c>
      <c r="O42" s="1"/>
      <c r="P42" s="1"/>
      <c r="Q42" s="1"/>
      <c r="W42"/>
      <c r="X42"/>
      <c r="Y42"/>
    </row>
    <row r="43" spans="3:25" ht="47.25" x14ac:dyDescent="0.25">
      <c r="C43" s="92" t="s">
        <v>216</v>
      </c>
      <c r="D43" s="92" t="s">
        <v>96</v>
      </c>
      <c r="E43" s="93" t="s">
        <v>202</v>
      </c>
      <c r="F43" s="93" t="s">
        <v>155</v>
      </c>
      <c r="G43" s="92">
        <v>5</v>
      </c>
      <c r="H43" s="92">
        <f>IFERROR(VLOOKUP($G43,LGD!$M$5:$N$11,2,0),"")</f>
        <v>8</v>
      </c>
      <c r="I43" s="92" t="s">
        <v>231</v>
      </c>
      <c r="J43" s="92"/>
      <c r="K43" s="92"/>
      <c r="L43" s="92" t="s">
        <v>46</v>
      </c>
      <c r="M43" s="111">
        <v>44290</v>
      </c>
      <c r="N43" s="111">
        <v>44294</v>
      </c>
      <c r="O43" s="1"/>
      <c r="P43" s="1"/>
      <c r="Q43" s="1"/>
      <c r="W43"/>
      <c r="X43"/>
      <c r="Y43"/>
    </row>
    <row r="44" spans="3:25" ht="47.25" x14ac:dyDescent="0.25">
      <c r="C44" s="92" t="s">
        <v>217</v>
      </c>
      <c r="D44" s="92" t="s">
        <v>96</v>
      </c>
      <c r="E44" s="93" t="s">
        <v>203</v>
      </c>
      <c r="F44" s="93" t="s">
        <v>156</v>
      </c>
      <c r="G44" s="92">
        <v>5</v>
      </c>
      <c r="H44" s="92">
        <f>IFERROR(VLOOKUP($G44,LGD!$M$5:$N$11,2,0),"")</f>
        <v>8</v>
      </c>
      <c r="I44" s="92" t="s">
        <v>231</v>
      </c>
      <c r="J44" s="92"/>
      <c r="K44" s="92"/>
      <c r="L44" s="92" t="s">
        <v>46</v>
      </c>
      <c r="M44" s="111">
        <v>44296</v>
      </c>
      <c r="N44" s="111">
        <v>44299</v>
      </c>
      <c r="O44" s="1"/>
      <c r="P44" s="1"/>
      <c r="Q44" s="1"/>
      <c r="W44"/>
      <c r="X44"/>
      <c r="Y44"/>
    </row>
    <row r="45" spans="3:25" ht="63" x14ac:dyDescent="0.25">
      <c r="C45" s="92" t="s">
        <v>218</v>
      </c>
      <c r="D45" s="92" t="s">
        <v>96</v>
      </c>
      <c r="E45" s="93" t="s">
        <v>204</v>
      </c>
      <c r="F45" s="93" t="s">
        <v>157</v>
      </c>
      <c r="G45" s="92">
        <v>5</v>
      </c>
      <c r="H45" s="92">
        <f>IFERROR(VLOOKUP($G45,LGD!$M$5:$N$11,2,0),"")</f>
        <v>8</v>
      </c>
      <c r="I45" s="92" t="s">
        <v>231</v>
      </c>
      <c r="J45" s="92"/>
      <c r="K45" s="92"/>
      <c r="L45" s="92" t="s">
        <v>46</v>
      </c>
      <c r="M45" s="111">
        <v>44303</v>
      </c>
      <c r="N45" s="111">
        <v>44303</v>
      </c>
      <c r="O45" s="1"/>
      <c r="P45" s="1"/>
      <c r="Q45" s="1"/>
      <c r="W45"/>
      <c r="X45"/>
      <c r="Y45"/>
    </row>
    <row r="46" spans="3:25" ht="47.25" x14ac:dyDescent="0.25">
      <c r="C46" s="92" t="s">
        <v>219</v>
      </c>
      <c r="D46" s="92" t="s">
        <v>96</v>
      </c>
      <c r="E46" s="93" t="s">
        <v>205</v>
      </c>
      <c r="F46" s="93" t="s">
        <v>158</v>
      </c>
      <c r="G46" s="92">
        <v>5</v>
      </c>
      <c r="H46" s="92">
        <f>IFERROR(VLOOKUP($G46,LGD!$M$5:$N$11,2,0),"")</f>
        <v>8</v>
      </c>
      <c r="I46" s="92" t="s">
        <v>231</v>
      </c>
      <c r="J46" s="92"/>
      <c r="K46" s="92"/>
      <c r="L46" s="92" t="s">
        <v>46</v>
      </c>
      <c r="M46" s="111">
        <v>44301</v>
      </c>
      <c r="N46" s="111">
        <v>44303</v>
      </c>
      <c r="O46" s="1"/>
      <c r="P46" s="1"/>
      <c r="Q46" s="1"/>
      <c r="W46"/>
      <c r="X46"/>
      <c r="Y46"/>
    </row>
    <row r="47" spans="3:25" ht="47.25" x14ac:dyDescent="0.25">
      <c r="C47" s="92">
        <v>7</v>
      </c>
      <c r="D47" s="92" t="s">
        <v>96</v>
      </c>
      <c r="E47" s="93" t="s">
        <v>206</v>
      </c>
      <c r="F47" s="93" t="s">
        <v>159</v>
      </c>
      <c r="G47" s="92">
        <v>5</v>
      </c>
      <c r="H47" s="92">
        <f>IFERROR(VLOOKUP($G47,LGD!$M$5:$N$11,2,0),"")</f>
        <v>8</v>
      </c>
      <c r="I47" s="92" t="s">
        <v>231</v>
      </c>
      <c r="J47" s="92"/>
      <c r="K47" s="92"/>
      <c r="L47" s="92" t="s">
        <v>46</v>
      </c>
      <c r="M47" s="111">
        <v>44301</v>
      </c>
      <c r="N47" s="111">
        <v>44303</v>
      </c>
      <c r="O47" s="1"/>
      <c r="P47" s="1"/>
      <c r="Q47" s="1"/>
      <c r="W47"/>
      <c r="X47"/>
      <c r="Y47"/>
    </row>
    <row r="48" spans="3:25" ht="47.25" x14ac:dyDescent="0.25">
      <c r="C48" s="92" t="s">
        <v>220</v>
      </c>
      <c r="D48" s="92" t="s">
        <v>96</v>
      </c>
      <c r="E48" s="93" t="s">
        <v>207</v>
      </c>
      <c r="F48" s="93" t="s">
        <v>160</v>
      </c>
      <c r="G48" s="92">
        <v>5</v>
      </c>
      <c r="H48" s="92">
        <f>IFERROR(VLOOKUP($G48,LGD!$M$5:$N$11,2,0),"")</f>
        <v>8</v>
      </c>
      <c r="I48" s="92" t="s">
        <v>231</v>
      </c>
      <c r="J48" s="92"/>
      <c r="K48" s="92"/>
      <c r="L48" s="92" t="s">
        <v>46</v>
      </c>
      <c r="M48" s="111">
        <v>44301</v>
      </c>
      <c r="N48" s="111">
        <v>44303</v>
      </c>
      <c r="O48" s="1"/>
      <c r="P48" s="1"/>
      <c r="Q48" s="1"/>
      <c r="W48"/>
      <c r="X48"/>
      <c r="Y48"/>
    </row>
    <row r="49" spans="3:25" ht="47.25" x14ac:dyDescent="0.25">
      <c r="C49" s="92" t="s">
        <v>221</v>
      </c>
      <c r="D49" s="92" t="s">
        <v>96</v>
      </c>
      <c r="E49" s="93" t="s">
        <v>208</v>
      </c>
      <c r="F49" s="93" t="s">
        <v>161</v>
      </c>
      <c r="G49" s="92">
        <v>5</v>
      </c>
      <c r="H49" s="92">
        <f>IFERROR(VLOOKUP($G49,LGD!$M$5:$N$11,2,0),"")</f>
        <v>8</v>
      </c>
      <c r="I49" s="92" t="s">
        <v>231</v>
      </c>
      <c r="J49" s="92"/>
      <c r="K49" s="92"/>
      <c r="L49" s="92" t="s">
        <v>46</v>
      </c>
      <c r="M49" s="111">
        <v>44301</v>
      </c>
      <c r="N49" s="111">
        <v>44303</v>
      </c>
      <c r="O49" s="1"/>
      <c r="P49" s="1"/>
      <c r="Q49" s="1"/>
      <c r="W49"/>
      <c r="X49"/>
      <c r="Y49"/>
    </row>
    <row r="50" spans="3:25" ht="78.75" x14ac:dyDescent="0.25">
      <c r="C50" s="92" t="s">
        <v>222</v>
      </c>
      <c r="D50" s="92" t="s">
        <v>96</v>
      </c>
      <c r="E50" s="93" t="s">
        <v>209</v>
      </c>
      <c r="F50" s="93" t="s">
        <v>162</v>
      </c>
      <c r="G50" s="92">
        <v>5</v>
      </c>
      <c r="H50" s="92">
        <f>IFERROR(VLOOKUP($G50,LGD!$M$5:$N$11,2,0),"")</f>
        <v>8</v>
      </c>
      <c r="I50" s="92" t="s">
        <v>231</v>
      </c>
      <c r="J50" s="92"/>
      <c r="K50" s="92"/>
      <c r="L50" s="92" t="s">
        <v>46</v>
      </c>
      <c r="M50" s="111">
        <v>44301</v>
      </c>
      <c r="N50" s="111">
        <v>44303</v>
      </c>
      <c r="O50" s="1"/>
      <c r="P50" s="1"/>
      <c r="Q50" s="1"/>
      <c r="W50"/>
      <c r="X50"/>
      <c r="Y50"/>
    </row>
    <row r="51" spans="3:25" ht="47.25" x14ac:dyDescent="0.25">
      <c r="C51" s="92">
        <v>2</v>
      </c>
      <c r="D51" s="92" t="s">
        <v>96</v>
      </c>
      <c r="E51" s="93" t="s">
        <v>210</v>
      </c>
      <c r="F51" s="93" t="s">
        <v>163</v>
      </c>
      <c r="G51" s="92">
        <v>3</v>
      </c>
      <c r="H51" s="92">
        <f>IFERROR(VLOOKUP($G51,LGD!$M$5:$N$11,2,0),"")</f>
        <v>6</v>
      </c>
      <c r="I51" s="92" t="s">
        <v>231</v>
      </c>
      <c r="J51" s="92"/>
      <c r="K51" s="92"/>
      <c r="L51" s="92" t="s">
        <v>46</v>
      </c>
      <c r="M51" s="111">
        <v>44302</v>
      </c>
      <c r="N51" s="111">
        <v>44303</v>
      </c>
      <c r="O51" s="1"/>
      <c r="P51" s="1"/>
      <c r="Q51" s="1"/>
      <c r="W51"/>
      <c r="X51"/>
      <c r="Y51"/>
    </row>
    <row r="52" spans="3:25" ht="31.5" x14ac:dyDescent="0.25">
      <c r="C52" s="92" t="s">
        <v>223</v>
      </c>
      <c r="D52" s="92" t="s">
        <v>96</v>
      </c>
      <c r="E52" s="93" t="s">
        <v>211</v>
      </c>
      <c r="F52" s="93" t="s">
        <v>164</v>
      </c>
      <c r="G52" s="92">
        <v>3</v>
      </c>
      <c r="H52" s="92">
        <f>IFERROR(VLOOKUP($G52,LGD!$M$5:$N$11,2,0),"")</f>
        <v>6</v>
      </c>
      <c r="I52" s="92" t="s">
        <v>231</v>
      </c>
      <c r="J52" s="92"/>
      <c r="K52" s="92"/>
      <c r="L52" s="92" t="s">
        <v>46</v>
      </c>
      <c r="M52" s="111">
        <v>44302</v>
      </c>
      <c r="N52" s="111">
        <v>44303</v>
      </c>
      <c r="O52" s="1"/>
      <c r="P52" s="1"/>
      <c r="Q52" s="1"/>
      <c r="W52"/>
      <c r="X52"/>
      <c r="Y52"/>
    </row>
    <row r="53" spans="3:25" ht="31.5" x14ac:dyDescent="0.25">
      <c r="C53" s="92" t="s">
        <v>224</v>
      </c>
      <c r="D53" s="92" t="s">
        <v>96</v>
      </c>
      <c r="E53" s="93" t="s">
        <v>212</v>
      </c>
      <c r="F53" s="93" t="s">
        <v>165</v>
      </c>
      <c r="G53" s="92">
        <v>3</v>
      </c>
      <c r="H53" s="92">
        <f>IFERROR(VLOOKUP($G53,LGD!$M$5:$N$11,2,0),"")</f>
        <v>6</v>
      </c>
      <c r="I53" s="92" t="s">
        <v>231</v>
      </c>
      <c r="J53" s="92"/>
      <c r="K53" s="92"/>
      <c r="L53" s="92" t="s">
        <v>46</v>
      </c>
      <c r="M53" s="111">
        <v>44302</v>
      </c>
      <c r="N53" s="111">
        <v>44303</v>
      </c>
      <c r="O53" s="1"/>
      <c r="P53" s="1"/>
      <c r="Q53" s="1"/>
      <c r="W53"/>
      <c r="X53"/>
      <c r="Y53"/>
    </row>
    <row r="54" spans="3:25" x14ac:dyDescent="0.25">
      <c r="C54" s="92"/>
      <c r="D54" s="92"/>
      <c r="E54" s="93"/>
      <c r="F54" s="93"/>
      <c r="G54" s="92"/>
      <c r="H54" s="92"/>
      <c r="I54" s="92"/>
      <c r="J54" s="92"/>
      <c r="K54" s="92"/>
      <c r="L54" s="92"/>
      <c r="M54" s="111"/>
      <c r="N54" s="111"/>
      <c r="O54" s="1"/>
      <c r="P54" s="1"/>
      <c r="Q54" s="1"/>
      <c r="W54"/>
      <c r="X54"/>
      <c r="Y54"/>
    </row>
    <row r="55" spans="3:25" x14ac:dyDescent="0.25">
      <c r="C55" s="92"/>
      <c r="D55" s="92"/>
      <c r="E55" s="93"/>
      <c r="F55" s="93"/>
      <c r="G55" s="92"/>
      <c r="H55" s="92"/>
      <c r="I55" s="92"/>
      <c r="J55" s="92"/>
      <c r="K55" s="92"/>
      <c r="L55" s="92"/>
      <c r="M55" s="111"/>
      <c r="N55" s="111"/>
      <c r="O55" s="1"/>
      <c r="P55" s="1"/>
      <c r="Q55" s="1"/>
      <c r="W55"/>
      <c r="X55"/>
      <c r="Y55"/>
    </row>
    <row r="56" spans="3:25" x14ac:dyDescent="0.25">
      <c r="C56" s="92"/>
      <c r="D56" s="92"/>
      <c r="E56" s="93"/>
      <c r="F56" s="93"/>
      <c r="G56" s="92"/>
      <c r="H56" s="92"/>
      <c r="I56" s="92"/>
      <c r="J56" s="92"/>
      <c r="K56" s="92"/>
      <c r="L56" s="92"/>
      <c r="M56" s="111"/>
      <c r="N56" s="111"/>
      <c r="O56" s="1"/>
      <c r="P56" s="1"/>
      <c r="Q56" s="1"/>
      <c r="W56"/>
      <c r="X56"/>
      <c r="Y56"/>
    </row>
    <row r="57" spans="3:25" x14ac:dyDescent="0.25">
      <c r="C57" s="92"/>
      <c r="D57" s="92"/>
      <c r="E57" s="93"/>
      <c r="F57" s="93"/>
      <c r="G57" s="92"/>
      <c r="H57" s="92"/>
      <c r="I57" s="92"/>
      <c r="J57" s="92"/>
      <c r="K57" s="92"/>
      <c r="L57" s="92"/>
      <c r="M57" s="111"/>
      <c r="N57" s="111"/>
      <c r="O57" s="1"/>
      <c r="P57" s="1"/>
      <c r="Q57" s="1"/>
      <c r="W57"/>
      <c r="X57"/>
      <c r="Y57"/>
    </row>
    <row r="58" spans="3:25" x14ac:dyDescent="0.25">
      <c r="C58" s="92"/>
      <c r="D58" s="92"/>
      <c r="E58" s="93"/>
      <c r="F58" s="93"/>
      <c r="G58" s="92"/>
      <c r="H58" s="92"/>
      <c r="I58" s="92"/>
      <c r="J58" s="92"/>
      <c r="K58" s="92"/>
      <c r="L58" s="92"/>
      <c r="M58" s="111"/>
      <c r="N58" s="111"/>
      <c r="O58" s="1"/>
      <c r="P58" s="1"/>
      <c r="Q58" s="1"/>
      <c r="W58"/>
      <c r="X58"/>
      <c r="Y58"/>
    </row>
    <row r="59" spans="3:25" x14ac:dyDescent="0.25">
      <c r="C59" s="92"/>
      <c r="D59" s="92"/>
      <c r="E59" s="93"/>
      <c r="F59" s="93"/>
      <c r="G59" s="92"/>
      <c r="H59" s="92"/>
      <c r="I59" s="92"/>
      <c r="J59" s="92"/>
      <c r="K59" s="92"/>
      <c r="L59" s="92"/>
      <c r="M59" s="111"/>
      <c r="N59" s="111"/>
      <c r="O59" s="1"/>
      <c r="P59" s="1"/>
      <c r="Q59" s="1"/>
      <c r="W59"/>
      <c r="X59"/>
      <c r="Y59"/>
    </row>
    <row r="60" spans="3:25" x14ac:dyDescent="0.25">
      <c r="C60" s="92"/>
      <c r="D60" s="92"/>
      <c r="E60" s="93"/>
      <c r="F60" s="93"/>
      <c r="G60" s="92"/>
      <c r="H60" s="92"/>
      <c r="I60" s="92"/>
      <c r="J60" s="92"/>
      <c r="K60" s="92"/>
      <c r="L60" s="92"/>
      <c r="M60" s="111"/>
      <c r="N60" s="111"/>
      <c r="O60" s="1"/>
      <c r="P60" s="1"/>
      <c r="Q60" s="1"/>
      <c r="W60"/>
      <c r="X60"/>
      <c r="Y60"/>
    </row>
    <row r="61" spans="3:25" x14ac:dyDescent="0.25">
      <c r="C61" s="92"/>
      <c r="D61" s="92"/>
      <c r="E61" s="93"/>
      <c r="F61" s="93"/>
      <c r="G61" s="92"/>
      <c r="H61" s="92" t="str">
        <f>IFERROR(VLOOKUP($G61,LGD!$M$5:$N$11,2,0),"")</f>
        <v/>
      </c>
      <c r="I61" s="92"/>
      <c r="J61" s="92"/>
      <c r="K61" s="92"/>
      <c r="L61" s="92"/>
      <c r="M61" s="111"/>
      <c r="N61" s="111"/>
      <c r="O61" s="1"/>
      <c r="P61" s="1"/>
      <c r="Q61" s="1"/>
      <c r="W61"/>
      <c r="X61"/>
      <c r="Y61"/>
    </row>
    <row r="62" spans="3:25" x14ac:dyDescent="0.25">
      <c r="C62" s="92"/>
      <c r="D62" s="92"/>
      <c r="E62" s="93"/>
      <c r="F62" s="93"/>
      <c r="G62" s="92"/>
      <c r="H62" s="92" t="str">
        <f>IFERROR(VLOOKUP($G62,LGD!$M$5:$N$11,2,0),"")</f>
        <v/>
      </c>
      <c r="I62" s="92"/>
      <c r="J62" s="92"/>
      <c r="K62" s="92"/>
      <c r="L62" s="92"/>
      <c r="M62" s="111"/>
      <c r="N62" s="111"/>
      <c r="O62" s="1"/>
      <c r="P62" s="1"/>
      <c r="Q62" s="1"/>
      <c r="W62"/>
      <c r="X62"/>
      <c r="Y62"/>
    </row>
    <row r="63" spans="3:25" x14ac:dyDescent="0.25">
      <c r="C63" s="92"/>
      <c r="D63" s="92"/>
      <c r="E63" s="93"/>
      <c r="F63" s="93"/>
      <c r="G63" s="92"/>
      <c r="H63" s="92" t="str">
        <f>IFERROR(VLOOKUP($G63,LGD!$M$5:$N$11,2,0),"")</f>
        <v/>
      </c>
      <c r="I63" s="92"/>
      <c r="J63" s="92"/>
      <c r="K63" s="92"/>
      <c r="L63" s="92"/>
      <c r="M63" s="111"/>
      <c r="N63" s="111"/>
      <c r="O63" s="1"/>
      <c r="P63" s="1"/>
      <c r="Q63" s="1"/>
      <c r="W63"/>
      <c r="X63"/>
      <c r="Y63"/>
    </row>
    <row r="64" spans="3:25" x14ac:dyDescent="0.25">
      <c r="C64" s="92"/>
      <c r="D64" s="92"/>
      <c r="E64" s="93"/>
      <c r="F64" s="93"/>
      <c r="G64" s="92"/>
      <c r="H64" s="92" t="str">
        <f>IFERROR(VLOOKUP($G64,LGD!$M$5:$N$11,2,0),"")</f>
        <v/>
      </c>
      <c r="I64" s="92"/>
      <c r="J64" s="92"/>
      <c r="K64" s="92"/>
      <c r="L64" s="92"/>
      <c r="M64" s="111"/>
      <c r="N64" s="111"/>
      <c r="O64" s="1"/>
      <c r="P64" s="1"/>
      <c r="Q64" s="1"/>
      <c r="W64"/>
      <c r="X64"/>
      <c r="Y64"/>
    </row>
    <row r="65" spans="3:25" x14ac:dyDescent="0.25">
      <c r="C65" s="92"/>
      <c r="D65" s="92"/>
      <c r="E65" s="93"/>
      <c r="F65" s="93"/>
      <c r="G65" s="92"/>
      <c r="H65" s="92" t="str">
        <f>IFERROR(VLOOKUP($G65,LGD!$M$5:$N$11,2,0),"")</f>
        <v/>
      </c>
      <c r="I65" s="92"/>
      <c r="J65" s="92"/>
      <c r="K65" s="92"/>
      <c r="L65" s="92"/>
      <c r="M65" s="111"/>
      <c r="N65" s="111"/>
      <c r="O65" s="1"/>
      <c r="P65" s="1"/>
      <c r="Q65" s="1"/>
      <c r="W65"/>
      <c r="X65"/>
      <c r="Y65"/>
    </row>
    <row r="66" spans="3:25" x14ac:dyDescent="0.25">
      <c r="C66" s="92"/>
      <c r="D66" s="92"/>
      <c r="E66" s="93"/>
      <c r="F66" s="93"/>
      <c r="G66" s="92"/>
      <c r="H66" s="92" t="str">
        <f>IFERROR(VLOOKUP($G66,LGD!$M$5:$N$11,2,0),"")</f>
        <v/>
      </c>
      <c r="I66" s="92"/>
      <c r="J66" s="92"/>
      <c r="K66" s="92"/>
      <c r="L66" s="92"/>
      <c r="M66" s="111"/>
      <c r="N66" s="111"/>
      <c r="O66" s="1"/>
      <c r="P66" s="1"/>
      <c r="Q66" s="1"/>
      <c r="W66"/>
      <c r="X66"/>
      <c r="Y66"/>
    </row>
    <row r="67" spans="3:25" x14ac:dyDescent="0.25">
      <c r="C67" s="92"/>
      <c r="D67" s="92"/>
      <c r="E67" s="93"/>
      <c r="F67" s="93"/>
      <c r="G67" s="92"/>
      <c r="H67" s="92" t="str">
        <f>IFERROR(VLOOKUP($G67,LGD!$M$5:$N$11,2,0),"")</f>
        <v/>
      </c>
      <c r="I67" s="92"/>
      <c r="J67" s="92"/>
      <c r="K67" s="92"/>
      <c r="L67" s="92"/>
      <c r="M67" s="111"/>
      <c r="N67" s="111"/>
      <c r="O67" s="1"/>
      <c r="P67" s="1"/>
      <c r="Q67" s="1"/>
      <c r="W67"/>
      <c r="X67"/>
      <c r="Y67"/>
    </row>
    <row r="68" spans="3:25" x14ac:dyDescent="0.25">
      <c r="C68" s="92"/>
      <c r="D68" s="92"/>
      <c r="E68" s="93"/>
      <c r="F68" s="93"/>
      <c r="G68" s="92"/>
      <c r="H68" s="92" t="str">
        <f>IFERROR(VLOOKUP($G68,LGD!$M$5:$N$11,2,0),"")</f>
        <v/>
      </c>
      <c r="I68" s="92"/>
      <c r="J68" s="92"/>
      <c r="K68" s="92"/>
      <c r="L68" s="92"/>
      <c r="M68" s="111"/>
      <c r="N68" s="111"/>
      <c r="O68" s="1"/>
      <c r="P68" s="1"/>
      <c r="Q68" s="1"/>
      <c r="W68"/>
      <c r="X68"/>
      <c r="Y68"/>
    </row>
    <row r="69" spans="3:25" x14ac:dyDescent="0.25">
      <c r="C69" s="92"/>
      <c r="D69" s="92"/>
      <c r="E69" s="93"/>
      <c r="F69" s="93"/>
      <c r="G69" s="92"/>
      <c r="H69" s="92" t="str">
        <f>IFERROR(VLOOKUP($G69,LGD!$M$5:$N$11,2,0),"")</f>
        <v/>
      </c>
      <c r="I69" s="92"/>
      <c r="J69" s="92"/>
      <c r="K69" s="92"/>
      <c r="L69" s="92"/>
      <c r="M69" s="111"/>
      <c r="N69" s="111"/>
      <c r="O69" s="1"/>
      <c r="P69" s="1"/>
      <c r="Q69" s="1"/>
      <c r="W69"/>
      <c r="X69"/>
      <c r="Y69"/>
    </row>
    <row r="70" spans="3:25" x14ac:dyDescent="0.25">
      <c r="C70" s="92"/>
      <c r="D70" s="92"/>
      <c r="E70" s="93"/>
      <c r="F70" s="93"/>
      <c r="G70" s="92"/>
      <c r="H70" s="92" t="str">
        <f>IFERROR(VLOOKUP($G70,LGD!$M$5:$N$11,2,0),"")</f>
        <v/>
      </c>
      <c r="I70" s="92"/>
      <c r="J70" s="92"/>
      <c r="K70" s="92"/>
      <c r="L70" s="92"/>
      <c r="M70" s="111"/>
      <c r="N70" s="111"/>
      <c r="O70" s="1"/>
      <c r="P70" s="1"/>
      <c r="Q70" s="1"/>
      <c r="W70"/>
      <c r="X70"/>
      <c r="Y70"/>
    </row>
    <row r="71" spans="3:25" x14ac:dyDescent="0.25">
      <c r="C71" s="92"/>
      <c r="D71" s="92"/>
      <c r="E71" s="93"/>
      <c r="F71" s="93"/>
      <c r="G71" s="92"/>
      <c r="H71" s="92" t="str">
        <f>IFERROR(VLOOKUP($G71,LGD!$M$5:$N$11,2,0),"")</f>
        <v/>
      </c>
      <c r="I71" s="92"/>
      <c r="J71" s="92"/>
      <c r="K71" s="92"/>
      <c r="L71" s="92"/>
      <c r="M71" s="111"/>
      <c r="N71" s="111"/>
      <c r="O71" s="1"/>
      <c r="P71" s="1"/>
      <c r="Q71" s="1"/>
      <c r="W71"/>
      <c r="X71"/>
      <c r="Y71"/>
    </row>
    <row r="72" spans="3:25" x14ac:dyDescent="0.25">
      <c r="C72" s="92"/>
      <c r="D72" s="92"/>
      <c r="E72" s="93"/>
      <c r="F72" s="93"/>
      <c r="G72" s="92"/>
      <c r="H72" s="92" t="str">
        <f>IFERROR(VLOOKUP($G72,LGD!$M$5:$N$11,2,0),"")</f>
        <v/>
      </c>
      <c r="I72" s="92"/>
      <c r="J72" s="92"/>
      <c r="K72" s="92"/>
      <c r="L72" s="92"/>
      <c r="M72" s="111"/>
      <c r="N72" s="111"/>
      <c r="O72" s="1"/>
      <c r="P72" s="1"/>
      <c r="Q72" s="1"/>
      <c r="W72"/>
      <c r="X72"/>
      <c r="Y72"/>
    </row>
    <row r="73" spans="3:25" x14ac:dyDescent="0.25">
      <c r="C73" s="92"/>
      <c r="D73" s="92"/>
      <c r="E73" s="93"/>
      <c r="F73" s="93"/>
      <c r="G73" s="92"/>
      <c r="H73" s="92" t="str">
        <f>IFERROR(VLOOKUP($G73,LGD!$M$5:$N$11,2,0),"")</f>
        <v/>
      </c>
      <c r="I73" s="92"/>
      <c r="J73" s="92"/>
      <c r="K73" s="92"/>
      <c r="L73" s="92"/>
      <c r="M73" s="111"/>
      <c r="N73" s="111"/>
      <c r="O73" s="1"/>
      <c r="P73" s="1"/>
      <c r="Q73" s="1"/>
      <c r="W73"/>
      <c r="X73"/>
      <c r="Y73"/>
    </row>
    <row r="74" spans="3:25" x14ac:dyDescent="0.25">
      <c r="C74" s="92"/>
      <c r="D74" s="92"/>
      <c r="E74" s="93"/>
      <c r="F74" s="93"/>
      <c r="G74" s="92"/>
      <c r="H74" s="92" t="str">
        <f>IFERROR(VLOOKUP($G74,LGD!$M$5:$N$11,2,0),"")</f>
        <v/>
      </c>
      <c r="I74" s="92"/>
      <c r="J74" s="92"/>
      <c r="K74" s="92"/>
      <c r="L74" s="92"/>
      <c r="M74" s="111"/>
      <c r="N74" s="111"/>
      <c r="O74" s="1"/>
      <c r="P74" s="1"/>
      <c r="Q74" s="1"/>
      <c r="W74"/>
      <c r="X74"/>
      <c r="Y74"/>
    </row>
    <row r="75" spans="3:25" x14ac:dyDescent="0.25">
      <c r="C75" s="92"/>
      <c r="D75" s="92"/>
      <c r="E75" s="93"/>
      <c r="F75" s="93"/>
      <c r="G75" s="92"/>
      <c r="H75" s="92" t="str">
        <f>IFERROR(VLOOKUP($G75,LGD!$M$5:$N$11,2,0),"")</f>
        <v/>
      </c>
      <c r="I75" s="92"/>
      <c r="J75" s="92"/>
      <c r="K75" s="92"/>
      <c r="L75" s="92"/>
      <c r="M75" s="111"/>
      <c r="N75" s="111"/>
      <c r="O75" s="1"/>
      <c r="P75" s="1"/>
      <c r="Q75" s="1"/>
      <c r="W75"/>
      <c r="X75"/>
      <c r="Y75"/>
    </row>
    <row r="76" spans="3:25" x14ac:dyDescent="0.25">
      <c r="C76" s="92"/>
      <c r="D76" s="92"/>
      <c r="E76" s="93"/>
      <c r="F76" s="93"/>
      <c r="G76" s="92"/>
      <c r="H76" s="92" t="str">
        <f>IFERROR(VLOOKUP($G76,LGD!$M$5:$N$11,2,0),"")</f>
        <v/>
      </c>
      <c r="I76" s="92"/>
      <c r="J76" s="92"/>
      <c r="K76" s="92"/>
      <c r="L76" s="92"/>
      <c r="M76" s="111"/>
      <c r="N76" s="111"/>
      <c r="O76" s="1"/>
      <c r="P76" s="1"/>
      <c r="Q76" s="1"/>
      <c r="W76"/>
      <c r="X76"/>
      <c r="Y76"/>
    </row>
    <row r="77" spans="3:25" x14ac:dyDescent="0.25">
      <c r="C77" s="92"/>
      <c r="D77" s="92"/>
      <c r="E77" s="93"/>
      <c r="F77" s="93"/>
      <c r="G77" s="92"/>
      <c r="H77" s="92" t="str">
        <f>IFERROR(VLOOKUP($G77,LGD!$M$5:$N$11,2,0),"")</f>
        <v/>
      </c>
      <c r="I77" s="92"/>
      <c r="J77" s="92"/>
      <c r="K77" s="92"/>
      <c r="L77" s="92"/>
      <c r="M77" s="111"/>
      <c r="N77" s="111"/>
    </row>
    <row r="78" spans="3:25" x14ac:dyDescent="0.25">
      <c r="C78" s="92"/>
      <c r="D78" s="92"/>
      <c r="E78" s="93"/>
      <c r="F78" s="93"/>
      <c r="G78" s="92"/>
      <c r="H78" s="92" t="str">
        <f>IFERROR(VLOOKUP($G78,LGD!$M$5:$N$11,2,0),"")</f>
        <v/>
      </c>
      <c r="I78" s="92"/>
      <c r="J78" s="92"/>
      <c r="K78" s="92"/>
      <c r="L78" s="92"/>
      <c r="M78" s="111"/>
      <c r="N78" s="111"/>
    </row>
    <row r="79" spans="3:25" x14ac:dyDescent="0.25">
      <c r="C79" s="92"/>
      <c r="D79" s="92"/>
      <c r="E79" s="93"/>
      <c r="F79" s="93"/>
      <c r="G79" s="92"/>
      <c r="H79" s="92" t="str">
        <f>IFERROR(VLOOKUP($G79,LGD!$M$5:$N$11,2,0),"")</f>
        <v/>
      </c>
      <c r="I79" s="92"/>
      <c r="J79" s="92"/>
      <c r="K79" s="92"/>
      <c r="L79" s="92"/>
      <c r="M79" s="111"/>
      <c r="N79" s="111"/>
    </row>
    <row r="80" spans="3:25" x14ac:dyDescent="0.25">
      <c r="C80" s="92"/>
      <c r="D80" s="92"/>
      <c r="E80" s="93"/>
      <c r="F80" s="93"/>
      <c r="G80" s="92"/>
      <c r="H80" s="92" t="str">
        <f>IFERROR(VLOOKUP($G80,LGD!$M$5:$N$11,2,0),"")</f>
        <v/>
      </c>
      <c r="I80" s="92"/>
      <c r="J80" s="92"/>
      <c r="K80" s="92"/>
      <c r="L80" s="92"/>
      <c r="M80" s="111"/>
      <c r="N80" s="111"/>
    </row>
    <row r="81" spans="3:14" x14ac:dyDescent="0.25">
      <c r="C81" s="92"/>
      <c r="D81" s="92"/>
      <c r="E81" s="93"/>
      <c r="F81" s="93"/>
      <c r="G81" s="92"/>
      <c r="H81" s="92" t="str">
        <f>IFERROR(VLOOKUP($G81,LGD!$M$5:$N$11,2,0),"")</f>
        <v/>
      </c>
      <c r="I81" s="92"/>
      <c r="J81" s="92"/>
      <c r="K81" s="92"/>
      <c r="L81" s="92"/>
      <c r="M81" s="111"/>
      <c r="N81" s="111"/>
    </row>
    <row r="84" spans="3:14" x14ac:dyDescent="0.25">
      <c r="I84" s="1">
        <f>COUNTIFS(SprintBackLog[COLABORADOR (A)],"Matheus Emboaba")</f>
        <v>0</v>
      </c>
    </row>
    <row r="85" spans="3:14" x14ac:dyDescent="0.25">
      <c r="I85" s="1">
        <f>COUNTIFS(SprintBackLog[COLABORADOR (A)],"Guilherme Leite")</f>
        <v>0</v>
      </c>
    </row>
    <row r="88" spans="3:14" ht="15" customHeight="1" x14ac:dyDescent="0.25"/>
  </sheetData>
  <phoneticPr fontId="11" type="noConversion"/>
  <conditionalFormatting sqref="C5:N81">
    <cfRule type="expression" dxfId="48" priority="1">
      <formula>$D5="SPRINT4"</formula>
    </cfRule>
    <cfRule type="expression" dxfId="47" priority="2">
      <formula>$D5="SPRINT3"</formula>
    </cfRule>
    <cfRule type="expression" dxfId="46" priority="3">
      <formula>$D5="SPRINT2"</formula>
    </cfRule>
    <cfRule type="expression" dxfId="45" priority="4">
      <formula>$D5="SPRINT1"</formula>
    </cfRule>
    <cfRule type="expression" dxfId="44" priority="56">
      <formula>$L5="Transferido"</formula>
    </cfRule>
    <cfRule type="expression" dxfId="43" priority="57">
      <formula>$L5="Em Espera"</formula>
    </cfRule>
    <cfRule type="expression" dxfId="42" priority="58">
      <formula>$L5="Em Andamento"</formula>
    </cfRule>
    <cfRule type="expression" dxfId="41" priority="59">
      <formula>$L5="Concluído"</formula>
    </cfRule>
    <cfRule type="expression" dxfId="40" priority="60">
      <formula>$L5="Em Atraso"</formula>
    </cfRule>
  </conditionalFormatting>
  <dataValidations count="4">
    <dataValidation type="list" allowBlank="1" showInputMessage="1" showErrorMessage="1" errorTitle="Prezados," error="Essa célula aceita apenas as informações: SPRINT1, SPRINT2, SPRINT3 e SPRINT4." sqref="D5:D81" xr:uid="{26EDB976-8D65-4F9A-A57D-ABBCC7A6F7B4}">
      <formula1>SPRINTS</formula1>
    </dataValidation>
    <dataValidation type="list" allowBlank="1" showInputMessage="1" showErrorMessage="1" errorTitle="Prezados," error="Essa célula aceita apenas as informações: 1, 2, 3, 5, 8 e 13. " sqref="G5:G81" xr:uid="{B5151D5B-4AF5-4B2D-9DC8-9DD8373ECE34}">
      <formula1>PlanningPoker</formula1>
    </dataValidation>
    <dataValidation type="list" allowBlank="1" showInputMessage="1" showErrorMessage="1" sqref="L5:L81" xr:uid="{9C545E8A-2547-4D1E-8542-53F33E010A76}">
      <formula1>Status</formula1>
    </dataValidation>
    <dataValidation type="list" allowBlank="1" showInputMessage="1" showErrorMessage="1" errorTitle="Prezados," error="Essa célular aceita apenas as informações correspondente a SPRINT selecionada anteriormente. Dúvidas verifique o Product Backlog." sqref="F5:F81" xr:uid="{5A4B2907-EB30-4E85-A205-7157EE454491}">
      <formula1>INDIRECT($D5)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987ED7-D8A5-441F-8D82-A12B11E9DD34}">
          <x14:formula1>
            <xm:f>LGD!$E$5:$E$7</xm:f>
          </x14:formula1>
          <xm:sqref>K5:K81</xm:sqref>
        </x14:dataValidation>
        <x14:dataValidation type="list" allowBlank="1" showInputMessage="1" showErrorMessage="1" errorTitle="Prezados," error="Essa célula aceita apenas os colaboradores da Equipe LÍDER. Conforme o castrado." xr:uid="{2B8D0D90-70BB-46D1-8FD3-E2A4041F42B2}">
          <x14:formula1>
            <xm:f>LGD!$K$5:$K$50</xm:f>
          </x14:formula1>
          <xm:sqref>I5:I81</xm:sqref>
        </x14:dataValidation>
        <x14:dataValidation type="list" allowBlank="1" showInputMessage="1" showErrorMessage="1" xr:uid="{4F9C458B-7EBD-4031-B204-2E158848F066}">
          <x14:formula1>
            <xm:f>LGD!$P$5:$P$7</xm:f>
          </x14:formula1>
          <xm:sqref>J5:J81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201F-6CFC-4FBE-A9FA-79DC27849923}">
  <sheetPr codeName="Planilha11"/>
  <dimension ref="A1:Z16"/>
  <sheetViews>
    <sheetView showGridLines="0" zoomScale="60" zoomScaleNormal="60" workbookViewId="0">
      <pane xSplit="24" ySplit="2" topLeftCell="Y3" activePane="bottomRight" state="frozen"/>
      <selection pane="topRight" activeCell="Y1" sqref="Y1"/>
      <selection pane="bottomLeft" activeCell="A3" sqref="A3"/>
      <selection pane="bottomRight" activeCell="L7" sqref="L7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4" style="10" bestFit="1" customWidth="1"/>
    <col min="4" max="4" width="14.140625" style="10" bestFit="1" customWidth="1"/>
    <col min="5" max="5" width="12.7109375" style="10" bestFit="1" customWidth="1"/>
    <col min="6" max="6" width="14.28515625" style="10" bestFit="1" customWidth="1"/>
    <col min="7" max="24" width="12.7109375" style="10" bestFit="1" customWidth="1"/>
    <col min="25" max="16384" width="9.140625" style="10"/>
  </cols>
  <sheetData>
    <row r="1" spans="1:26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110"/>
      <c r="T1" s="110"/>
      <c r="U1" s="84"/>
      <c r="V1" s="84"/>
      <c r="W1" s="84"/>
      <c r="X1" s="84"/>
      <c r="Y1" s="84"/>
    </row>
    <row r="2" spans="1:26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109"/>
      <c r="T2" s="109"/>
      <c r="U2" s="85"/>
      <c r="V2" s="85"/>
      <c r="W2" s="85"/>
      <c r="X2" s="85"/>
      <c r="Y2" s="85"/>
    </row>
    <row r="3" spans="1:26" ht="15.75" customHeight="1" x14ac:dyDescent="0.25"/>
    <row r="4" spans="1:26" ht="18" customHeight="1" x14ac:dyDescent="0.25">
      <c r="C4" s="156" t="str">
        <f>C11</f>
        <v>SPRINT3</v>
      </c>
      <c r="D4" s="156"/>
      <c r="E4" s="116" t="s">
        <v>116</v>
      </c>
      <c r="F4" s="116" t="s">
        <v>117</v>
      </c>
      <c r="G4" s="116" t="s">
        <v>118</v>
      </c>
      <c r="H4" s="116" t="s">
        <v>119</v>
      </c>
      <c r="I4" s="116" t="s">
        <v>120</v>
      </c>
      <c r="J4" s="116" t="s">
        <v>121</v>
      </c>
      <c r="K4" s="116" t="s">
        <v>122</v>
      </c>
      <c r="L4" s="116" t="s">
        <v>123</v>
      </c>
      <c r="M4" s="116" t="s">
        <v>124</v>
      </c>
      <c r="N4" s="116" t="s">
        <v>125</v>
      </c>
      <c r="O4" s="116" t="s">
        <v>245</v>
      </c>
      <c r="P4" s="116" t="s">
        <v>246</v>
      </c>
      <c r="Q4" s="116" t="s">
        <v>247</v>
      </c>
      <c r="R4" s="116" t="s">
        <v>248</v>
      </c>
      <c r="S4" s="116" t="s">
        <v>249</v>
      </c>
      <c r="T4" s="116" t="s">
        <v>250</v>
      </c>
      <c r="U4" s="116" t="s">
        <v>251</v>
      </c>
      <c r="V4" s="116" t="s">
        <v>252</v>
      </c>
      <c r="W4" s="116" t="s">
        <v>253</v>
      </c>
      <c r="X4" s="116" t="s">
        <v>254</v>
      </c>
    </row>
    <row r="5" spans="1:26" ht="15.75" customHeight="1" x14ac:dyDescent="0.25">
      <c r="C5" s="156"/>
      <c r="D5" s="156"/>
      <c r="E5" s="113">
        <f>E12+1</f>
        <v>44313</v>
      </c>
      <c r="F5" s="113">
        <f t="shared" ref="F5:X5" si="0">IF(E5&lt;$F$12,SUM(E5+1),"")</f>
        <v>44314</v>
      </c>
      <c r="G5" s="113">
        <f t="shared" si="0"/>
        <v>44315</v>
      </c>
      <c r="H5" s="113">
        <f t="shared" si="0"/>
        <v>44316</v>
      </c>
      <c r="I5" s="113">
        <f t="shared" si="0"/>
        <v>44317</v>
      </c>
      <c r="J5" s="113">
        <f t="shared" si="0"/>
        <v>44318</v>
      </c>
      <c r="K5" s="113">
        <f t="shared" si="0"/>
        <v>44319</v>
      </c>
      <c r="L5" s="113">
        <f t="shared" si="0"/>
        <v>44320</v>
      </c>
      <c r="M5" s="113">
        <f t="shared" si="0"/>
        <v>44321</v>
      </c>
      <c r="N5" s="113">
        <f t="shared" si="0"/>
        <v>44322</v>
      </c>
      <c r="O5" s="113">
        <f t="shared" si="0"/>
        <v>44323</v>
      </c>
      <c r="P5" s="113">
        <f t="shared" si="0"/>
        <v>44324</v>
      </c>
      <c r="Q5" s="113">
        <f t="shared" si="0"/>
        <v>44325</v>
      </c>
      <c r="R5" s="113">
        <f t="shared" si="0"/>
        <v>44326</v>
      </c>
      <c r="S5" s="113">
        <f t="shared" si="0"/>
        <v>44327</v>
      </c>
      <c r="T5" s="113">
        <f t="shared" si="0"/>
        <v>44328</v>
      </c>
      <c r="U5" s="113">
        <f t="shared" si="0"/>
        <v>44329</v>
      </c>
      <c r="V5" s="113">
        <f t="shared" si="0"/>
        <v>44330</v>
      </c>
      <c r="W5" s="113">
        <f t="shared" si="0"/>
        <v>44331</v>
      </c>
      <c r="X5" s="113">
        <f t="shared" si="0"/>
        <v>44332</v>
      </c>
    </row>
    <row r="6" spans="1:26" ht="18" customHeight="1" x14ac:dyDescent="0.25">
      <c r="C6" s="154" t="s">
        <v>257</v>
      </c>
      <c r="D6" s="155"/>
      <c r="E6" s="132">
        <f>IFERROR(SUMIFS(SPBL!$H$5:$H$81,SPBL!$D$5:$D$81,$C$11),"")</f>
        <v>240</v>
      </c>
      <c r="F6" s="115">
        <f>E6-$E$6/(COUNT($E$5:$X$5)-1)</f>
        <v>227.36842105263159</v>
      </c>
      <c r="G6" s="115">
        <f t="shared" ref="G6:X6" si="1">F6-$E$6/(COUNT($E$5:$X$5)-1)</f>
        <v>214.73684210526318</v>
      </c>
      <c r="H6" s="115">
        <f t="shared" si="1"/>
        <v>202.10526315789477</v>
      </c>
      <c r="I6" s="115">
        <f t="shared" si="1"/>
        <v>189.47368421052636</v>
      </c>
      <c r="J6" s="115">
        <f t="shared" si="1"/>
        <v>176.84210526315795</v>
      </c>
      <c r="K6" s="115">
        <f t="shared" si="1"/>
        <v>164.21052631578954</v>
      </c>
      <c r="L6" s="115">
        <f t="shared" si="1"/>
        <v>151.57894736842113</v>
      </c>
      <c r="M6" s="115">
        <f t="shared" si="1"/>
        <v>138.94736842105272</v>
      </c>
      <c r="N6" s="115">
        <f t="shared" si="1"/>
        <v>126.31578947368429</v>
      </c>
      <c r="O6" s="115">
        <f t="shared" si="1"/>
        <v>113.68421052631587</v>
      </c>
      <c r="P6" s="115">
        <f t="shared" si="1"/>
        <v>101.05263157894744</v>
      </c>
      <c r="Q6" s="115">
        <f t="shared" si="1"/>
        <v>88.421052631579016</v>
      </c>
      <c r="R6" s="115">
        <f t="shared" si="1"/>
        <v>75.789473684210591</v>
      </c>
      <c r="S6" s="115">
        <f t="shared" si="1"/>
        <v>63.157894736842167</v>
      </c>
      <c r="T6" s="115">
        <f t="shared" si="1"/>
        <v>50.526315789473742</v>
      </c>
      <c r="U6" s="115">
        <f t="shared" si="1"/>
        <v>37.894736842105317</v>
      </c>
      <c r="V6" s="115">
        <f t="shared" si="1"/>
        <v>25.263157894736896</v>
      </c>
      <c r="W6" s="115">
        <f t="shared" si="1"/>
        <v>12.631578947368475</v>
      </c>
      <c r="X6" s="115">
        <f t="shared" si="1"/>
        <v>5.3290705182007514E-14</v>
      </c>
      <c r="Y6"/>
      <c r="Z6"/>
    </row>
    <row r="7" spans="1:26" ht="18" customHeight="1" x14ac:dyDescent="0.25">
      <c r="C7" s="154" t="s">
        <v>258</v>
      </c>
      <c r="D7" s="155"/>
      <c r="E7" s="115">
        <v>0</v>
      </c>
      <c r="F7" s="115">
        <v>0</v>
      </c>
      <c r="G7" s="115">
        <v>0</v>
      </c>
      <c r="H7" s="115">
        <v>0</v>
      </c>
      <c r="I7" s="115">
        <v>0</v>
      </c>
      <c r="J7" s="115">
        <v>0</v>
      </c>
      <c r="K7" s="115">
        <v>0</v>
      </c>
      <c r="L7" s="115">
        <v>0</v>
      </c>
      <c r="M7" s="115">
        <v>0</v>
      </c>
      <c r="N7" s="115">
        <v>0</v>
      </c>
      <c r="O7" s="115">
        <v>0</v>
      </c>
      <c r="P7" s="115">
        <v>0</v>
      </c>
      <c r="Q7" s="115">
        <v>0</v>
      </c>
      <c r="R7" s="115">
        <v>0</v>
      </c>
      <c r="S7" s="115">
        <v>0</v>
      </c>
      <c r="T7" s="115">
        <v>0</v>
      </c>
      <c r="U7" s="115">
        <v>0</v>
      </c>
      <c r="V7" s="115">
        <v>0</v>
      </c>
      <c r="W7" s="115">
        <v>0</v>
      </c>
      <c r="X7" s="115">
        <v>0</v>
      </c>
    </row>
    <row r="8" spans="1:26" ht="18" customHeight="1" x14ac:dyDescent="0.25">
      <c r="C8" s="154" t="s">
        <v>259</v>
      </c>
      <c r="D8" s="155"/>
      <c r="E8" s="132">
        <f>IFERROR(E6-E7,"")</f>
        <v>240</v>
      </c>
      <c r="F8" s="132">
        <f ca="1">IF(F5&lt;=$G$12,E8-F7,"")</f>
        <v>240</v>
      </c>
      <c r="G8" s="132">
        <f ca="1">IF(G5&lt;=$G$12,F8-G7,"")</f>
        <v>240</v>
      </c>
      <c r="H8" s="132">
        <f t="shared" ref="H8:W8" ca="1" si="2">IF(H5&lt;=$G$12,G8-H7,"")</f>
        <v>240</v>
      </c>
      <c r="I8" s="132">
        <f t="shared" ca="1" si="2"/>
        <v>240</v>
      </c>
      <c r="J8" s="132">
        <f t="shared" ca="1" si="2"/>
        <v>240</v>
      </c>
      <c r="K8" s="132">
        <f t="shared" ca="1" si="2"/>
        <v>240</v>
      </c>
      <c r="L8" s="132">
        <f t="shared" ca="1" si="2"/>
        <v>240</v>
      </c>
      <c r="M8" s="132">
        <f t="shared" ca="1" si="2"/>
        <v>240</v>
      </c>
      <c r="N8" s="132">
        <f t="shared" ca="1" si="2"/>
        <v>240</v>
      </c>
      <c r="O8" s="132">
        <f t="shared" ca="1" si="2"/>
        <v>240</v>
      </c>
      <c r="P8" s="132">
        <f t="shared" ca="1" si="2"/>
        <v>240</v>
      </c>
      <c r="Q8" s="132">
        <f t="shared" ca="1" si="2"/>
        <v>240</v>
      </c>
      <c r="R8" s="132">
        <f t="shared" ca="1" si="2"/>
        <v>240</v>
      </c>
      <c r="S8" s="132">
        <f t="shared" ca="1" si="2"/>
        <v>240</v>
      </c>
      <c r="T8" s="132" t="str">
        <f t="shared" ca="1" si="2"/>
        <v/>
      </c>
      <c r="U8" s="132" t="str">
        <f t="shared" ca="1" si="2"/>
        <v/>
      </c>
      <c r="V8" s="132" t="str">
        <f t="shared" ca="1" si="2"/>
        <v/>
      </c>
      <c r="W8" s="132" t="str">
        <f t="shared" ca="1" si="2"/>
        <v/>
      </c>
      <c r="X8" s="132" t="str">
        <f ca="1">IF(X5&lt;=$G$12,W8-X7,"")</f>
        <v/>
      </c>
    </row>
    <row r="11" spans="1:26" ht="15.95" customHeight="1" x14ac:dyDescent="0.25">
      <c r="C11" s="156" t="s">
        <v>97</v>
      </c>
      <c r="D11" s="156"/>
      <c r="E11" s="116" t="s">
        <v>260</v>
      </c>
      <c r="F11" s="116" t="s">
        <v>261</v>
      </c>
      <c r="G11" s="158" t="s">
        <v>262</v>
      </c>
      <c r="H11" s="158"/>
    </row>
    <row r="12" spans="1:26" ht="15.95" customHeight="1" x14ac:dyDescent="0.25">
      <c r="C12" s="156"/>
      <c r="D12" s="156"/>
      <c r="E12" s="133">
        <f>_xlfn.XLOOKUP(C11,Planning[Evento],Planning[Data Início])</f>
        <v>44312</v>
      </c>
      <c r="F12" s="114">
        <f>_xlfn.XLOOKUP(C11,Planning[Evento],Planning[Data Entrega])</f>
        <v>44332</v>
      </c>
      <c r="G12" s="157">
        <f ca="1">TODAY()</f>
        <v>44327</v>
      </c>
      <c r="H12" s="157"/>
    </row>
    <row r="13" spans="1:26" ht="14.25" customHeight="1" x14ac:dyDescent="0.25">
      <c r="C13" s="117"/>
    </row>
    <row r="14" spans="1:26" ht="14.25" customHeight="1" x14ac:dyDescent="0.25">
      <c r="C14" s="117"/>
    </row>
    <row r="15" spans="1:26" ht="14.25" customHeight="1" x14ac:dyDescent="0.25">
      <c r="C15" s="117"/>
    </row>
    <row r="16" spans="1:26" ht="14.25" customHeight="1" x14ac:dyDescent="0.25">
      <c r="C16" s="117"/>
    </row>
  </sheetData>
  <mergeCells count="7">
    <mergeCell ref="C6:D6"/>
    <mergeCell ref="C11:D12"/>
    <mergeCell ref="G12:H12"/>
    <mergeCell ref="C4:D5"/>
    <mergeCell ref="G11:H11"/>
    <mergeCell ref="C8:D8"/>
    <mergeCell ref="C7:D7"/>
  </mergeCells>
  <phoneticPr fontId="11" type="noConversion"/>
  <dataValidations count="1">
    <dataValidation type="list" allowBlank="1" showInputMessage="1" showErrorMessage="1" sqref="C11" xr:uid="{169B86FC-5DF5-4C16-8DE0-1F39725969F0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9F031-1885-4B7E-AF9D-A468588CC91D}">
  <sheetPr codeName="Planilha10"/>
  <dimension ref="A1:U43"/>
  <sheetViews>
    <sheetView showGridLines="0" showRowColHeaders="0" zoomScale="80" zoomScaleNormal="80" workbookViewId="0">
      <pane xSplit="15" ySplit="2" topLeftCell="P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9.85546875" style="1" bestFit="1" customWidth="1"/>
    <col min="4" max="4" width="10.140625" style="1" bestFit="1" customWidth="1"/>
    <col min="5" max="5" width="14.42578125" style="1" bestFit="1" customWidth="1"/>
    <col min="6" max="6" width="18.28515625" style="1" bestFit="1" customWidth="1"/>
    <col min="7" max="7" width="13.140625" style="1" bestFit="1" customWidth="1"/>
    <col min="8" max="8" width="14" style="1" bestFit="1" customWidth="1"/>
    <col min="9" max="9" width="12.5703125" style="1" bestFit="1" customWidth="1"/>
    <col min="10" max="10" width="6.7109375" style="1" bestFit="1" customWidth="1"/>
    <col min="11" max="11" width="12.5703125" style="1" bestFit="1" customWidth="1"/>
    <col min="12" max="12" width="18.28515625" style="1" bestFit="1" customWidth="1"/>
    <col min="13" max="13" width="13.140625" style="1" bestFit="1" customWidth="1"/>
    <col min="14" max="14" width="14" style="1" bestFit="1" customWidth="1"/>
    <col min="15" max="17" width="12.5703125" style="1" bestFit="1" customWidth="1"/>
    <col min="18" max="16384" width="9.140625" style="1"/>
  </cols>
  <sheetData>
    <row r="1" spans="1:21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/>
      <c r="R1"/>
      <c r="S1"/>
      <c r="T1"/>
      <c r="U1"/>
    </row>
    <row r="2" spans="1:21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/>
      <c r="R2"/>
      <c r="S2"/>
      <c r="T2"/>
      <c r="U2"/>
    </row>
    <row r="3" spans="1:21" ht="15.75" customHeight="1" x14ac:dyDescent="0.25">
      <c r="R3"/>
      <c r="S3"/>
      <c r="T3"/>
      <c r="U3"/>
    </row>
    <row r="4" spans="1:21" ht="15.75" customHeight="1" x14ac:dyDescent="0.2"/>
    <row r="5" spans="1:21" ht="15.75" customHeight="1" x14ac:dyDescent="0.2"/>
    <row r="6" spans="1:21" ht="15.75" customHeight="1" x14ac:dyDescent="0.2"/>
    <row r="7" spans="1:21" ht="15.75" customHeight="1" x14ac:dyDescent="0.2"/>
    <row r="8" spans="1:21" ht="15.75" customHeight="1" x14ac:dyDescent="0.2"/>
    <row r="9" spans="1:21" ht="15.75" customHeight="1" x14ac:dyDescent="0.2"/>
    <row r="10" spans="1:21" ht="24.95" customHeight="1" x14ac:dyDescent="0.2">
      <c r="C10" s="60"/>
      <c r="D10" s="48" t="s">
        <v>114</v>
      </c>
      <c r="E10" s="68" t="s">
        <v>106</v>
      </c>
      <c r="F10" s="66" t="s">
        <v>107</v>
      </c>
      <c r="G10" s="72" t="s">
        <v>50</v>
      </c>
      <c r="H10" s="49" t="s">
        <v>108</v>
      </c>
      <c r="I10" s="74" t="s">
        <v>46</v>
      </c>
    </row>
    <row r="11" spans="1:21" ht="20.100000000000001" customHeight="1" thickBot="1" x14ac:dyDescent="0.25">
      <c r="C11" s="61" t="s">
        <v>95</v>
      </c>
      <c r="D11" s="46">
        <f>COUNTIFS(SprintBackLog[],RLT!C11)</f>
        <v>14</v>
      </c>
      <c r="E11" s="70">
        <f>COUNTIFS(SprintBackLog[STATUS],"="&amp;E10,SprintBackLog[SPRINT],RLT!C11)</f>
        <v>0</v>
      </c>
      <c r="F11" s="71">
        <f>COUNTIFS(SprintBackLog[STATUS],"="&amp;RLT!F10,SprintBackLog[SPRINT],RLT!C11)</f>
        <v>0</v>
      </c>
      <c r="G11" s="73">
        <f>COUNTIFS(SprintBackLog[STATUS],"="&amp;RLT!G10,SprintBackLog[SPRINT],RLT!C11)</f>
        <v>0</v>
      </c>
      <c r="H11" s="47">
        <f>COUNTIFS(SprintBackLog[STATUS],"="&amp;RLT!H10,SprintBackLog[SPRINT],RLT!C11)</f>
        <v>0</v>
      </c>
      <c r="I11" s="75">
        <f>COUNTIFS(SprintBackLog[STATUS],"="&amp;RLT!I10,SprintBackLog[SPRINT],RLT!C11)</f>
        <v>14</v>
      </c>
    </row>
    <row r="12" spans="1:21" ht="14.25" customHeight="1" thickTop="1" x14ac:dyDescent="0.25">
      <c r="C12"/>
      <c r="D12" s="54"/>
      <c r="E12" s="55"/>
      <c r="F12" s="56"/>
      <c r="G12" s="57"/>
      <c r="H12" s="58"/>
      <c r="I12" s="59"/>
    </row>
    <row r="13" spans="1:21" ht="14.25" customHeight="1" x14ac:dyDescent="0.25">
      <c r="C13"/>
      <c r="D13" s="54"/>
      <c r="E13" s="55"/>
      <c r="F13" s="56"/>
      <c r="G13" s="57"/>
      <c r="H13" s="58"/>
      <c r="I13" s="59"/>
    </row>
    <row r="14" spans="1:21" ht="14.25" customHeight="1" x14ac:dyDescent="0.25">
      <c r="C14"/>
      <c r="D14" s="54"/>
      <c r="E14" s="55"/>
      <c r="F14" s="56"/>
      <c r="G14" s="57"/>
      <c r="H14" s="58"/>
      <c r="I14" s="59"/>
    </row>
    <row r="15" spans="1:21" ht="14.25" customHeight="1" x14ac:dyDescent="0.25">
      <c r="C15"/>
      <c r="D15" s="54"/>
      <c r="E15" s="55"/>
      <c r="F15" s="56"/>
      <c r="G15" s="57"/>
      <c r="H15" s="58"/>
      <c r="I15" s="59"/>
    </row>
    <row r="16" spans="1:21" ht="14.25" customHeight="1" x14ac:dyDescent="0.25">
      <c r="C16"/>
      <c r="D16" s="54"/>
      <c r="E16" s="55"/>
      <c r="F16" s="56"/>
      <c r="G16" s="57"/>
      <c r="H16" s="58"/>
      <c r="I16" s="59"/>
    </row>
    <row r="17" spans="3:15" ht="14.25" customHeight="1" x14ac:dyDescent="0.25">
      <c r="C17"/>
      <c r="D17" s="54"/>
      <c r="E17" s="55"/>
      <c r="F17" s="56"/>
      <c r="G17" s="57"/>
      <c r="H17" s="58"/>
      <c r="I17" s="59"/>
    </row>
    <row r="18" spans="3:15" ht="14.25" customHeight="1" x14ac:dyDescent="0.25">
      <c r="C18"/>
      <c r="D18" s="54"/>
      <c r="E18" s="55"/>
      <c r="F18" s="56"/>
      <c r="G18" s="57"/>
      <c r="H18" s="58"/>
      <c r="I18" s="59"/>
    </row>
    <row r="19" spans="3:15" ht="15" x14ac:dyDescent="0.25">
      <c r="C19"/>
    </row>
    <row r="20" spans="3:15" ht="15.75" x14ac:dyDescent="0.25">
      <c r="C20"/>
      <c r="I20" s="60"/>
      <c r="J20" s="82" t="s">
        <v>114</v>
      </c>
      <c r="K20" s="78" t="s">
        <v>106</v>
      </c>
      <c r="L20" s="76" t="s">
        <v>107</v>
      </c>
      <c r="M20" s="80" t="s">
        <v>50</v>
      </c>
      <c r="N20" s="74" t="s">
        <v>108</v>
      </c>
      <c r="O20" s="72" t="s">
        <v>46</v>
      </c>
    </row>
    <row r="21" spans="3:15" ht="21" thickBot="1" x14ac:dyDescent="0.25">
      <c r="I21" s="61" t="s">
        <v>126</v>
      </c>
      <c r="J21" s="83">
        <f>COUNTIFS(SprintBackLog[],RLT!I21)</f>
        <v>0</v>
      </c>
      <c r="K21" s="79">
        <f>COUNTIFS(SprintBackLog[STATUS],"="&amp;RLT!K20,SprintBackLog[ATIVIDADE],"="&amp;RLT!$I$21)</f>
        <v>0</v>
      </c>
      <c r="L21" s="77">
        <f>COUNTIFS(SprintBackLog[STATUS],"="&amp;RLT!L20,SprintBackLog[ATIVIDADE],"="&amp;RLT!$I$21)</f>
        <v>0</v>
      </c>
      <c r="M21" s="81">
        <f>COUNTIFS(SprintBackLog[STATUS],"="&amp;RLT!M20,SprintBackLog[ATIVIDADE],"="&amp;RLT!$I$21)</f>
        <v>0</v>
      </c>
      <c r="N21" s="75">
        <f>COUNTIFS(SprintBackLog[STATUS],"="&amp;RLT!N20,SprintBackLog[ATIVIDADE],"="&amp;RLT!$I$21)</f>
        <v>0</v>
      </c>
      <c r="O21" s="73">
        <f>COUNTIFS(SprintBackLog[STATUS],"="&amp;RLT!O20,SprintBackLog[ATIVIDADE],"="&amp;RLT!$I$21)</f>
        <v>0</v>
      </c>
    </row>
    <row r="22" spans="3:15" ht="14.25" customHeight="1" thickTop="1" x14ac:dyDescent="0.2">
      <c r="I22" s="53"/>
      <c r="J22" s="54"/>
      <c r="K22" s="55"/>
      <c r="L22" s="56"/>
      <c r="M22" s="57"/>
      <c r="N22" s="58"/>
      <c r="O22" s="59"/>
    </row>
    <row r="23" spans="3:15" ht="14.25" customHeight="1" x14ac:dyDescent="0.2">
      <c r="I23" s="53"/>
      <c r="J23" s="54"/>
      <c r="K23" s="55"/>
      <c r="L23" s="56"/>
      <c r="M23" s="57"/>
      <c r="N23" s="58"/>
      <c r="O23" s="59"/>
    </row>
    <row r="24" spans="3:15" ht="14.25" customHeight="1" x14ac:dyDescent="0.2">
      <c r="I24" s="53"/>
      <c r="J24" s="54"/>
      <c r="K24" s="55"/>
      <c r="L24" s="56"/>
      <c r="M24" s="57"/>
      <c r="N24" s="58"/>
      <c r="O24" s="59"/>
    </row>
    <row r="25" spans="3:15" ht="14.25" customHeight="1" x14ac:dyDescent="0.2">
      <c r="I25" s="53"/>
      <c r="J25" s="54"/>
      <c r="K25" s="55"/>
      <c r="L25" s="56"/>
      <c r="M25" s="57"/>
      <c r="N25" s="58"/>
      <c r="O25" s="59"/>
    </row>
    <row r="26" spans="3:15" ht="14.25" customHeight="1" x14ac:dyDescent="0.2">
      <c r="I26" s="53"/>
      <c r="J26" s="54"/>
      <c r="K26" s="55"/>
      <c r="L26" s="56"/>
      <c r="M26" s="57"/>
      <c r="N26" s="58"/>
      <c r="O26" s="59"/>
    </row>
    <row r="27" spans="3:15" ht="14.25" customHeight="1" x14ac:dyDescent="0.2">
      <c r="I27" s="53"/>
      <c r="J27" s="54"/>
      <c r="K27" s="55"/>
      <c r="L27" s="56"/>
      <c r="M27" s="57"/>
      <c r="N27" s="58"/>
      <c r="O27" s="59"/>
    </row>
    <row r="29" spans="3:15" ht="24.95" customHeight="1" x14ac:dyDescent="0.2">
      <c r="D29" s="62" t="s">
        <v>95</v>
      </c>
      <c r="E29" s="50" t="s">
        <v>106</v>
      </c>
      <c r="F29" s="64" t="s">
        <v>107</v>
      </c>
      <c r="G29" s="66" t="s">
        <v>50</v>
      </c>
      <c r="H29" s="68" t="s">
        <v>108</v>
      </c>
      <c r="I29" s="48" t="s">
        <v>46</v>
      </c>
    </row>
    <row r="30" spans="3:15" ht="21" thickBot="1" x14ac:dyDescent="0.35">
      <c r="C30" s="45" t="s">
        <v>48</v>
      </c>
      <c r="D30" s="63">
        <f>COUNTIFS(SprintBackLog[COLABORADOR (A)],"="&amp;RLT!C30,SprintBackLog[SPRINT],$D$29)</f>
        <v>1</v>
      </c>
      <c r="E30" s="51">
        <f>COUNTIFS(SprintBackLog[STATUS],"="&amp;RLT!E29,SprintBackLog[COLABORADOR (A)],"="&amp;C30,SprintBackLog[SPRINT],RLT!D29)</f>
        <v>0</v>
      </c>
      <c r="F30" s="65">
        <f>COUNTIFS(SprintBackLog[STATUS],"="&amp;RLT!F29,SprintBackLog[COLABORADOR (A)],"="&amp;RLT!C30,SprintBackLog[SPRINT],RLT!D29)</f>
        <v>0</v>
      </c>
      <c r="G30" s="67">
        <f>COUNTIFS(SprintBackLog[STATUS],"="&amp;RLT!G29,SprintBackLog[COLABORADOR (A)],"="&amp;RLT!C30,SprintBackLog[SPRINT],RLT!D29)</f>
        <v>0</v>
      </c>
      <c r="H30" s="69">
        <f>COUNTIFS(SprintBackLog[STATUS],"="&amp;RLT!H29,SprintBackLog[COLABORADOR (A)],"="&amp;RLT!C30,SprintBackLog[SPRINT],RLT!D29)</f>
        <v>0</v>
      </c>
      <c r="I30" s="52">
        <f>COUNTIFS(SprintBackLog[STATUS],"="&amp;RLT!I29,SprintBackLog[COLABORADOR (A)],"="&amp;RLT!C30,SprintBackLog[SPRINT],RLT!D29)</f>
        <v>1</v>
      </c>
    </row>
    <row r="31" spans="3:15" ht="15" thickTop="1" x14ac:dyDescent="0.2"/>
    <row r="41" spans="3:7" ht="15" x14ac:dyDescent="0.2">
      <c r="E41" s="62" t="s">
        <v>97</v>
      </c>
      <c r="F41" s="118" t="s">
        <v>109</v>
      </c>
      <c r="G41" s="119" t="s">
        <v>263</v>
      </c>
    </row>
    <row r="42" spans="3:7" ht="15.75" thickBot="1" x14ac:dyDescent="0.3">
      <c r="C42" s="159" t="s">
        <v>48</v>
      </c>
      <c r="D42" s="159"/>
      <c r="E42" s="120">
        <f>COUNTIFS(SPBL!$I$5:$I$81,"="&amp;RLT!$C$42,SPBL!$D$5:$D$81,"="&amp;RLT!$E$41)</f>
        <v>4</v>
      </c>
      <c r="F42" s="122" t="str">
        <f>SUMIFS(SPBL!G5:$G$81,SPBL!D5:D81,RLT!E41,SPBL!I5:$I$81,RLT!C42)&amp;" / 100"</f>
        <v>20 / 100</v>
      </c>
      <c r="G42" s="121">
        <f>SUMIFS(SPBL!G5:$G$81,SPBL!D5:D81,RLT!E41,SPBL!I5:$I$81,RLT!C42)/100</f>
        <v>0.2</v>
      </c>
    </row>
    <row r="43" spans="3:7" ht="15" thickTop="1" x14ac:dyDescent="0.2"/>
  </sheetData>
  <mergeCells count="1">
    <mergeCell ref="C42:D42"/>
  </mergeCells>
  <dataValidations count="1">
    <dataValidation type="list" allowBlank="1" showInputMessage="1" showErrorMessage="1" sqref="D29 C11 E41" xr:uid="{6C85770F-22C6-42FB-813F-11ACC8BCE241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6229CF-48F8-4FE5-8252-5E1498120C53}">
          <x14:formula1>
            <xm:f>LGD!$K$5:$K$13</xm:f>
          </x14:formula1>
          <xm:sqref>C30 C42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2689-8835-475A-88B2-99661F9994FA}">
  <sheetPr codeName="Planilha7"/>
  <dimension ref="A1:W35"/>
  <sheetViews>
    <sheetView showGridLines="0" showRowColHeaders="0" workbookViewId="0">
      <pane xSplit="23" ySplit="2" topLeftCell="X3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23" width="8.7109375" style="1" customWidth="1"/>
    <col min="24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  <row r="4" spans="1:23" ht="30" customHeight="1" x14ac:dyDescent="0.2">
      <c r="C4" s="162" t="s">
        <v>92</v>
      </c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</row>
    <row r="5" spans="1:23" ht="15" thickBot="1" x14ac:dyDescent="0.25"/>
    <row r="6" spans="1:23" ht="15" x14ac:dyDescent="0.2">
      <c r="C6" s="24">
        <v>1</v>
      </c>
      <c r="D6" s="176" t="s">
        <v>83</v>
      </c>
      <c r="E6" s="176"/>
      <c r="F6" s="176"/>
      <c r="G6" s="30"/>
      <c r="H6" s="25"/>
      <c r="I6" s="25"/>
      <c r="J6" s="31"/>
      <c r="K6" s="173" t="s">
        <v>86</v>
      </c>
      <c r="L6" s="173"/>
      <c r="M6" s="173"/>
      <c r="N6" s="34">
        <v>2</v>
      </c>
      <c r="O6" s="30"/>
      <c r="P6" s="25"/>
      <c r="Q6" s="25"/>
      <c r="R6" s="31"/>
      <c r="S6" s="173" t="s">
        <v>91</v>
      </c>
      <c r="T6" s="173"/>
      <c r="U6" s="173"/>
      <c r="V6" s="26">
        <v>8</v>
      </c>
    </row>
    <row r="7" spans="1:23" x14ac:dyDescent="0.2">
      <c r="C7" s="27"/>
      <c r="D7" s="23"/>
      <c r="E7" s="23"/>
      <c r="F7" s="23"/>
      <c r="G7" s="27"/>
      <c r="H7" s="23"/>
      <c r="I7" s="23"/>
      <c r="J7" s="28"/>
      <c r="K7" s="23"/>
      <c r="L7" s="23"/>
      <c r="M7" s="23"/>
      <c r="N7" s="23"/>
      <c r="O7" s="27"/>
      <c r="P7" s="23"/>
      <c r="Q7" s="23"/>
      <c r="R7" s="28"/>
      <c r="S7" s="23"/>
      <c r="T7" s="23"/>
      <c r="U7" s="23"/>
      <c r="V7" s="28"/>
    </row>
    <row r="8" spans="1:23" x14ac:dyDescent="0.2">
      <c r="C8" s="27"/>
      <c r="D8" s="23"/>
      <c r="E8" s="23"/>
      <c r="F8" s="23"/>
      <c r="G8" s="27"/>
      <c r="H8" s="23"/>
      <c r="I8" s="23"/>
      <c r="J8" s="28"/>
      <c r="K8" s="23"/>
      <c r="L8" s="23"/>
      <c r="M8" s="23"/>
      <c r="N8" s="23"/>
      <c r="O8" s="27"/>
      <c r="P8" s="23"/>
      <c r="Q8" s="23"/>
      <c r="R8" s="28"/>
      <c r="S8" s="23"/>
      <c r="T8" s="23"/>
      <c r="U8" s="23"/>
      <c r="V8" s="28"/>
    </row>
    <row r="9" spans="1:23" x14ac:dyDescent="0.2">
      <c r="C9" s="27"/>
      <c r="D9" s="23"/>
      <c r="E9" s="23"/>
      <c r="F9" s="23"/>
      <c r="G9" s="27"/>
      <c r="H9" s="23"/>
      <c r="I9" s="23"/>
      <c r="J9" s="28"/>
      <c r="K9" s="23"/>
      <c r="L9" s="23"/>
      <c r="M9" s="23"/>
      <c r="N9" s="23"/>
      <c r="O9" s="27"/>
      <c r="P9" s="23"/>
      <c r="Q9" s="23"/>
      <c r="R9" s="28"/>
      <c r="S9" s="23"/>
      <c r="T9" s="23"/>
      <c r="U9" s="23"/>
      <c r="V9" s="28"/>
    </row>
    <row r="10" spans="1:23" x14ac:dyDescent="0.2">
      <c r="C10" s="27"/>
      <c r="D10" s="23"/>
      <c r="E10" s="23"/>
      <c r="F10" s="23"/>
      <c r="G10" s="27"/>
      <c r="H10" s="23"/>
      <c r="I10" s="23"/>
      <c r="J10" s="28"/>
      <c r="K10" s="23"/>
      <c r="L10" s="23"/>
      <c r="M10" s="23"/>
      <c r="N10" s="23"/>
      <c r="O10" s="27"/>
      <c r="P10" s="23"/>
      <c r="Q10" s="23"/>
      <c r="R10" s="28"/>
      <c r="S10" s="23"/>
      <c r="T10" s="23"/>
      <c r="U10" s="23"/>
      <c r="V10" s="28"/>
    </row>
    <row r="11" spans="1:23" x14ac:dyDescent="0.2">
      <c r="C11" s="27"/>
      <c r="D11" s="23"/>
      <c r="E11" s="23"/>
      <c r="F11" s="23"/>
      <c r="G11" s="27"/>
      <c r="H11" s="23"/>
      <c r="I11" s="23"/>
      <c r="J11" s="28"/>
      <c r="K11" s="23"/>
      <c r="L11" s="23"/>
      <c r="M11" s="23"/>
      <c r="N11" s="23"/>
      <c r="O11" s="27"/>
      <c r="P11" s="23"/>
      <c r="Q11" s="23"/>
      <c r="R11" s="28"/>
      <c r="S11" s="23"/>
      <c r="T11" s="23"/>
      <c r="U11" s="23"/>
      <c r="V11" s="28"/>
    </row>
    <row r="12" spans="1:23" x14ac:dyDescent="0.2">
      <c r="C12" s="27"/>
      <c r="D12" s="23"/>
      <c r="E12" s="23"/>
      <c r="F12" s="23"/>
      <c r="G12" s="27"/>
      <c r="H12" s="23"/>
      <c r="I12" s="23"/>
      <c r="J12" s="28"/>
      <c r="K12" s="23"/>
      <c r="L12" s="23"/>
      <c r="M12" s="23"/>
      <c r="N12" s="23"/>
      <c r="O12" s="27"/>
      <c r="P12" s="23"/>
      <c r="Q12" s="23"/>
      <c r="R12" s="28"/>
      <c r="S12" s="23"/>
      <c r="T12" s="23"/>
      <c r="U12" s="23"/>
      <c r="V12" s="28"/>
    </row>
    <row r="13" spans="1:23" x14ac:dyDescent="0.2">
      <c r="C13" s="27"/>
      <c r="D13" s="23"/>
      <c r="E13" s="23"/>
      <c r="F13" s="23"/>
      <c r="G13" s="27"/>
      <c r="H13" s="23"/>
      <c r="I13" s="23"/>
      <c r="J13" s="28"/>
      <c r="K13" s="23"/>
      <c r="L13" s="23"/>
      <c r="M13" s="23"/>
      <c r="N13" s="23"/>
      <c r="O13" s="27"/>
      <c r="P13" s="23"/>
      <c r="Q13" s="23"/>
      <c r="R13" s="28"/>
      <c r="S13" s="23"/>
      <c r="T13" s="23"/>
      <c r="U13" s="23"/>
      <c r="V13" s="28"/>
    </row>
    <row r="14" spans="1:23" x14ac:dyDescent="0.2">
      <c r="C14" s="27"/>
      <c r="D14" s="23"/>
      <c r="E14" s="23"/>
      <c r="F14" s="23"/>
      <c r="G14" s="27"/>
      <c r="H14" s="23"/>
      <c r="I14" s="23"/>
      <c r="J14" s="28"/>
      <c r="K14" s="23"/>
      <c r="L14" s="23"/>
      <c r="M14" s="23"/>
      <c r="N14" s="23"/>
      <c r="O14" s="27"/>
      <c r="P14" s="23"/>
      <c r="Q14" s="23"/>
      <c r="R14" s="28"/>
      <c r="S14" s="23"/>
      <c r="T14" s="23"/>
      <c r="U14" s="23"/>
      <c r="V14" s="28"/>
    </row>
    <row r="15" spans="1:23" ht="15.75" thickBot="1" x14ac:dyDescent="0.25">
      <c r="C15" s="27"/>
      <c r="D15" s="23"/>
      <c r="E15" s="23"/>
      <c r="F15" s="23"/>
      <c r="G15" s="177" t="s">
        <v>84</v>
      </c>
      <c r="H15" s="178"/>
      <c r="I15" s="178"/>
      <c r="J15" s="32">
        <v>3</v>
      </c>
      <c r="K15" s="23"/>
      <c r="L15" s="23"/>
      <c r="M15" s="23"/>
      <c r="N15" s="23"/>
      <c r="O15" s="33">
        <v>7</v>
      </c>
      <c r="P15" s="171" t="s">
        <v>89</v>
      </c>
      <c r="Q15" s="171"/>
      <c r="R15" s="172"/>
      <c r="S15" s="23"/>
      <c r="T15" s="23"/>
      <c r="U15" s="23"/>
      <c r="V15" s="28"/>
    </row>
    <row r="16" spans="1:23" x14ac:dyDescent="0.2">
      <c r="C16" s="27"/>
      <c r="D16" s="23"/>
      <c r="E16" s="23"/>
      <c r="F16" s="23"/>
      <c r="G16" s="30"/>
      <c r="H16" s="25"/>
      <c r="I16" s="25"/>
      <c r="J16" s="31"/>
      <c r="K16" s="23"/>
      <c r="L16" s="23"/>
      <c r="M16" s="23"/>
      <c r="N16" s="23"/>
      <c r="O16" s="30"/>
      <c r="P16" s="25"/>
      <c r="Q16" s="25"/>
      <c r="R16" s="31"/>
      <c r="S16" s="23"/>
      <c r="T16" s="23"/>
      <c r="U16" s="23"/>
      <c r="V16" s="28"/>
    </row>
    <row r="17" spans="3:22" x14ac:dyDescent="0.2">
      <c r="C17" s="27"/>
      <c r="D17" s="23"/>
      <c r="E17" s="23"/>
      <c r="F17" s="23"/>
      <c r="G17" s="27"/>
      <c r="H17" s="23"/>
      <c r="I17" s="23"/>
      <c r="J17" s="28"/>
      <c r="K17" s="23"/>
      <c r="L17" s="23"/>
      <c r="M17" s="23"/>
      <c r="N17" s="23"/>
      <c r="O17" s="27"/>
      <c r="P17" s="23"/>
      <c r="Q17" s="23"/>
      <c r="R17" s="28"/>
      <c r="S17" s="23"/>
      <c r="T17" s="23"/>
      <c r="U17" s="23"/>
      <c r="V17" s="28"/>
    </row>
    <row r="18" spans="3:22" x14ac:dyDescent="0.2">
      <c r="C18" s="27"/>
      <c r="D18" s="23"/>
      <c r="E18" s="23"/>
      <c r="F18" s="23"/>
      <c r="G18" s="27"/>
      <c r="H18" s="23"/>
      <c r="I18" s="23"/>
      <c r="J18" s="28"/>
      <c r="K18" s="23"/>
      <c r="L18" s="23"/>
      <c r="M18" s="23"/>
      <c r="N18" s="23"/>
      <c r="O18" s="27"/>
      <c r="P18" s="23"/>
      <c r="Q18" s="23"/>
      <c r="R18" s="28"/>
      <c r="S18" s="23"/>
      <c r="T18" s="23"/>
      <c r="U18" s="23"/>
      <c r="V18" s="28"/>
    </row>
    <row r="19" spans="3:22" x14ac:dyDescent="0.2">
      <c r="C19" s="27"/>
      <c r="D19" s="23"/>
      <c r="E19" s="23"/>
      <c r="F19" s="23"/>
      <c r="G19" s="27"/>
      <c r="H19" s="23"/>
      <c r="I19" s="23"/>
      <c r="J19" s="28"/>
      <c r="K19" s="23"/>
      <c r="L19" s="23"/>
      <c r="M19" s="23"/>
      <c r="N19" s="23"/>
      <c r="O19" s="27"/>
      <c r="P19" s="23"/>
      <c r="Q19" s="23"/>
      <c r="R19" s="28"/>
      <c r="S19" s="23"/>
      <c r="T19" s="23"/>
      <c r="U19" s="23"/>
      <c r="V19" s="28"/>
    </row>
    <row r="20" spans="3:22" x14ac:dyDescent="0.2">
      <c r="C20" s="27"/>
      <c r="D20" s="23"/>
      <c r="E20" s="23"/>
      <c r="F20" s="23"/>
      <c r="G20" s="27"/>
      <c r="H20" s="23"/>
      <c r="I20" s="23"/>
      <c r="J20" s="28"/>
      <c r="K20" s="23"/>
      <c r="L20" s="23"/>
      <c r="M20" s="23"/>
      <c r="N20" s="23"/>
      <c r="O20" s="27"/>
      <c r="P20" s="23"/>
      <c r="Q20" s="23"/>
      <c r="R20" s="28"/>
      <c r="S20" s="23"/>
      <c r="T20" s="23"/>
      <c r="U20" s="23"/>
      <c r="V20" s="28"/>
    </row>
    <row r="21" spans="3:22" x14ac:dyDescent="0.2">
      <c r="C21" s="27"/>
      <c r="D21" s="23"/>
      <c r="E21" s="23"/>
      <c r="F21" s="23"/>
      <c r="G21" s="27"/>
      <c r="H21" s="23"/>
      <c r="I21" s="23"/>
      <c r="J21" s="28"/>
      <c r="K21" s="23"/>
      <c r="L21" s="23"/>
      <c r="M21" s="23"/>
      <c r="N21" s="23"/>
      <c r="O21" s="27"/>
      <c r="P21" s="23"/>
      <c r="Q21" s="23"/>
      <c r="R21" s="28"/>
      <c r="S21" s="23"/>
      <c r="T21" s="23"/>
      <c r="U21" s="23"/>
      <c r="V21" s="28"/>
    </row>
    <row r="22" spans="3:22" x14ac:dyDescent="0.2">
      <c r="C22" s="27"/>
      <c r="D22" s="23"/>
      <c r="E22" s="23"/>
      <c r="F22" s="23"/>
      <c r="G22" s="27"/>
      <c r="H22" s="23"/>
      <c r="I22" s="23"/>
      <c r="J22" s="28"/>
      <c r="K22" s="23"/>
      <c r="L22" s="23"/>
      <c r="M22" s="23"/>
      <c r="N22" s="23"/>
      <c r="O22" s="27"/>
      <c r="P22" s="23"/>
      <c r="Q22" s="23"/>
      <c r="R22" s="28"/>
      <c r="S22" s="23"/>
      <c r="T22" s="23"/>
      <c r="U22" s="23"/>
      <c r="V22" s="28"/>
    </row>
    <row r="23" spans="3:22" x14ac:dyDescent="0.2">
      <c r="C23" s="27"/>
      <c r="D23" s="23"/>
      <c r="E23" s="23"/>
      <c r="F23" s="23"/>
      <c r="G23" s="27"/>
      <c r="H23" s="23"/>
      <c r="I23" s="23"/>
      <c r="J23" s="28"/>
      <c r="K23" s="23"/>
      <c r="L23" s="23"/>
      <c r="M23" s="23"/>
      <c r="N23" s="23"/>
      <c r="O23" s="27"/>
      <c r="P23" s="23"/>
      <c r="Q23" s="23"/>
      <c r="R23" s="28"/>
      <c r="S23" s="23"/>
      <c r="T23" s="23"/>
      <c r="U23" s="23"/>
      <c r="V23" s="28"/>
    </row>
    <row r="24" spans="3:22" x14ac:dyDescent="0.2">
      <c r="C24" s="27"/>
      <c r="D24" s="23"/>
      <c r="E24" s="23"/>
      <c r="F24" s="23"/>
      <c r="G24" s="27"/>
      <c r="H24" s="23"/>
      <c r="I24" s="23"/>
      <c r="J24" s="28"/>
      <c r="K24" s="23"/>
      <c r="L24" s="23"/>
      <c r="M24" s="23"/>
      <c r="N24" s="23"/>
      <c r="O24" s="27"/>
      <c r="P24" s="23"/>
      <c r="Q24" s="23"/>
      <c r="R24" s="28"/>
      <c r="S24" s="23"/>
      <c r="T24" s="23"/>
      <c r="U24" s="23"/>
      <c r="V24" s="28"/>
    </row>
    <row r="25" spans="3:22" ht="15.75" thickBot="1" x14ac:dyDescent="0.25">
      <c r="C25" s="27"/>
      <c r="D25" s="23"/>
      <c r="E25" s="23"/>
      <c r="F25" s="23"/>
      <c r="G25" s="35">
        <v>4</v>
      </c>
      <c r="H25" s="179" t="s">
        <v>85</v>
      </c>
      <c r="I25" s="179"/>
      <c r="J25" s="180"/>
      <c r="K25" s="23"/>
      <c r="L25" s="23"/>
      <c r="M25" s="23"/>
      <c r="N25" s="23"/>
      <c r="O25" s="169" t="s">
        <v>90</v>
      </c>
      <c r="P25" s="170"/>
      <c r="Q25" s="170"/>
      <c r="R25" s="36">
        <v>6</v>
      </c>
      <c r="S25" s="23"/>
      <c r="T25" s="23"/>
      <c r="U25" s="23"/>
      <c r="V25" s="28"/>
    </row>
    <row r="26" spans="3:22" ht="15" customHeight="1" x14ac:dyDescent="0.2">
      <c r="C26" s="181">
        <v>5</v>
      </c>
      <c r="D26" s="163" t="s">
        <v>93</v>
      </c>
      <c r="E26" s="163"/>
      <c r="F26" s="163"/>
      <c r="G26" s="163"/>
      <c r="H26" s="163"/>
      <c r="I26" s="163"/>
      <c r="J26" s="163"/>
      <c r="K26" s="163"/>
      <c r="L26" s="164"/>
      <c r="M26" s="30"/>
      <c r="N26" s="25"/>
      <c r="O26" s="25"/>
      <c r="P26" s="25"/>
      <c r="Q26" s="25"/>
      <c r="R26" s="25"/>
      <c r="S26" s="25"/>
      <c r="T26" s="25"/>
      <c r="U26" s="25"/>
      <c r="V26" s="174" t="s">
        <v>88</v>
      </c>
    </row>
    <row r="27" spans="3:22" ht="15" customHeight="1" x14ac:dyDescent="0.2">
      <c r="C27" s="182"/>
      <c r="D27" s="165"/>
      <c r="E27" s="165"/>
      <c r="F27" s="165"/>
      <c r="G27" s="165"/>
      <c r="H27" s="165"/>
      <c r="I27" s="165"/>
      <c r="J27" s="165"/>
      <c r="K27" s="165"/>
      <c r="L27" s="166"/>
      <c r="M27" s="27"/>
      <c r="N27" s="23"/>
      <c r="O27" s="23"/>
      <c r="P27" s="23"/>
      <c r="Q27" s="23"/>
      <c r="R27" s="23"/>
      <c r="S27" s="23"/>
      <c r="T27" s="23"/>
      <c r="U27" s="23"/>
      <c r="V27" s="175"/>
    </row>
    <row r="28" spans="3:22" ht="15" customHeight="1" x14ac:dyDescent="0.2">
      <c r="C28" s="183" t="s">
        <v>87</v>
      </c>
      <c r="D28" s="165"/>
      <c r="E28" s="165"/>
      <c r="F28" s="165"/>
      <c r="G28" s="165"/>
      <c r="H28" s="165"/>
      <c r="I28" s="165"/>
      <c r="J28" s="165"/>
      <c r="K28" s="165"/>
      <c r="L28" s="166"/>
      <c r="M28" s="27"/>
      <c r="N28" s="23"/>
      <c r="O28" s="23"/>
      <c r="P28" s="23"/>
      <c r="Q28" s="23"/>
      <c r="R28" s="23"/>
      <c r="S28" s="23"/>
      <c r="T28" s="23"/>
      <c r="U28" s="23"/>
      <c r="V28" s="175"/>
    </row>
    <row r="29" spans="3:22" ht="15" customHeight="1" x14ac:dyDescent="0.2">
      <c r="C29" s="183"/>
      <c r="D29" s="165"/>
      <c r="E29" s="165"/>
      <c r="F29" s="165"/>
      <c r="G29" s="165"/>
      <c r="H29" s="165"/>
      <c r="I29" s="165"/>
      <c r="J29" s="165"/>
      <c r="K29" s="165"/>
      <c r="L29" s="166"/>
      <c r="M29" s="27"/>
      <c r="N29" s="23"/>
      <c r="O29" s="23"/>
      <c r="P29" s="23"/>
      <c r="Q29" s="23"/>
      <c r="R29" s="23"/>
      <c r="S29" s="23"/>
      <c r="T29" s="23"/>
      <c r="U29" s="23"/>
      <c r="V29" s="175"/>
    </row>
    <row r="30" spans="3:22" ht="15" customHeight="1" x14ac:dyDescent="0.2">
      <c r="C30" s="183"/>
      <c r="D30" s="165"/>
      <c r="E30" s="165"/>
      <c r="F30" s="165"/>
      <c r="G30" s="165"/>
      <c r="H30" s="165"/>
      <c r="I30" s="165"/>
      <c r="J30" s="165"/>
      <c r="K30" s="165"/>
      <c r="L30" s="166"/>
      <c r="M30" s="27"/>
      <c r="N30" s="23"/>
      <c r="O30" s="23"/>
      <c r="P30" s="23"/>
      <c r="Q30" s="23"/>
      <c r="R30" s="23"/>
      <c r="S30" s="23"/>
      <c r="T30" s="23"/>
      <c r="U30" s="23"/>
      <c r="V30" s="175"/>
    </row>
    <row r="31" spans="3:22" ht="15" customHeight="1" x14ac:dyDescent="0.2">
      <c r="C31" s="183"/>
      <c r="D31" s="165"/>
      <c r="E31" s="165"/>
      <c r="F31" s="165"/>
      <c r="G31" s="165"/>
      <c r="H31" s="165"/>
      <c r="I31" s="165"/>
      <c r="J31" s="165"/>
      <c r="K31" s="165"/>
      <c r="L31" s="166"/>
      <c r="M31" s="27"/>
      <c r="N31" s="23"/>
      <c r="O31" s="23"/>
      <c r="P31" s="23"/>
      <c r="Q31" s="23"/>
      <c r="R31" s="23"/>
      <c r="S31" s="23"/>
      <c r="T31" s="23"/>
      <c r="U31" s="23"/>
      <c r="V31" s="175"/>
    </row>
    <row r="32" spans="3:22" ht="15" customHeight="1" x14ac:dyDescent="0.2">
      <c r="C32" s="183"/>
      <c r="D32" s="165"/>
      <c r="E32" s="165"/>
      <c r="F32" s="165"/>
      <c r="G32" s="165"/>
      <c r="H32" s="165"/>
      <c r="I32" s="165"/>
      <c r="J32" s="165"/>
      <c r="K32" s="165"/>
      <c r="L32" s="166"/>
      <c r="M32" s="27"/>
      <c r="N32" s="23"/>
      <c r="O32" s="23"/>
      <c r="P32" s="23"/>
      <c r="Q32" s="23"/>
      <c r="R32" s="23"/>
      <c r="S32" s="23"/>
      <c r="T32" s="23"/>
      <c r="U32" s="23"/>
      <c r="V32" s="175"/>
    </row>
    <row r="33" spans="3:22" ht="15" customHeight="1" x14ac:dyDescent="0.2">
      <c r="C33" s="183"/>
      <c r="D33" s="165"/>
      <c r="E33" s="165"/>
      <c r="F33" s="165"/>
      <c r="G33" s="165"/>
      <c r="H33" s="165"/>
      <c r="I33" s="165"/>
      <c r="J33" s="165"/>
      <c r="K33" s="165"/>
      <c r="L33" s="166"/>
      <c r="M33" s="27"/>
      <c r="N33" s="23"/>
      <c r="O33" s="23"/>
      <c r="P33" s="23"/>
      <c r="Q33" s="23"/>
      <c r="R33" s="23"/>
      <c r="S33" s="23"/>
      <c r="T33" s="23"/>
      <c r="U33" s="23"/>
      <c r="V33" s="175"/>
    </row>
    <row r="34" spans="3:22" ht="15" customHeight="1" x14ac:dyDescent="0.2">
      <c r="C34" s="183"/>
      <c r="D34" s="165"/>
      <c r="E34" s="165"/>
      <c r="F34" s="165"/>
      <c r="G34" s="165"/>
      <c r="H34" s="165"/>
      <c r="I34" s="165"/>
      <c r="J34" s="165"/>
      <c r="K34" s="165"/>
      <c r="L34" s="166"/>
      <c r="M34" s="27"/>
      <c r="N34" s="23"/>
      <c r="O34" s="23"/>
      <c r="P34" s="23"/>
      <c r="Q34" s="23"/>
      <c r="R34" s="23"/>
      <c r="S34" s="23"/>
      <c r="T34" s="23"/>
      <c r="U34" s="23"/>
      <c r="V34" s="160">
        <v>9</v>
      </c>
    </row>
    <row r="35" spans="3:22" ht="15.75" customHeight="1" thickBot="1" x14ac:dyDescent="0.25">
      <c r="C35" s="184"/>
      <c r="D35" s="167"/>
      <c r="E35" s="167"/>
      <c r="F35" s="167"/>
      <c r="G35" s="167"/>
      <c r="H35" s="167"/>
      <c r="I35" s="167"/>
      <c r="J35" s="167"/>
      <c r="K35" s="167"/>
      <c r="L35" s="168"/>
      <c r="M35" s="37"/>
      <c r="N35" s="29"/>
      <c r="O35" s="29"/>
      <c r="P35" s="29"/>
      <c r="Q35" s="29"/>
      <c r="R35" s="29"/>
      <c r="S35" s="29"/>
      <c r="T35" s="29"/>
      <c r="U35" s="29"/>
      <c r="V35" s="161"/>
    </row>
  </sheetData>
  <mergeCells count="13">
    <mergeCell ref="V34:V35"/>
    <mergeCell ref="C4:V4"/>
    <mergeCell ref="D26:L35"/>
    <mergeCell ref="O25:Q25"/>
    <mergeCell ref="P15:R15"/>
    <mergeCell ref="S6:U6"/>
    <mergeCell ref="V26:V33"/>
    <mergeCell ref="D6:F6"/>
    <mergeCell ref="G15:I15"/>
    <mergeCell ref="H25:J25"/>
    <mergeCell ref="K6:M6"/>
    <mergeCell ref="C26:C27"/>
    <mergeCell ref="C28:C3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DCE49-80FF-4279-B911-CB6C25E8434E}">
  <sheetPr codeName="Planilha8"/>
  <dimension ref="A1:W3"/>
  <sheetViews>
    <sheetView showGridLines="0" showRowColHeaders="0" zoomScaleNormal="100" workbookViewId="0">
      <pane xSplit="22" ySplit="2" topLeftCell="W12" activePane="bottomRight" state="frozen"/>
      <selection pane="topRight" activeCell="W1" sqref="W1"/>
      <selection pane="bottomLeft" activeCell="A3" sqref="A3"/>
      <selection pane="bottomRight" activeCell="J26" sqref="J26"/>
    </sheetView>
  </sheetViews>
  <sheetFormatPr defaultRowHeight="14.25" x14ac:dyDescent="0.2"/>
  <cols>
    <col min="1" max="1" width="2.28515625" style="1" customWidth="1"/>
    <col min="2" max="2" width="1.42578125" style="1" customWidth="1"/>
    <col min="3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08FBC-0FBC-4C3A-B204-8B80B20CC589}">
  <dimension ref="B2:G17"/>
  <sheetViews>
    <sheetView zoomScale="80" zoomScaleNormal="80" workbookViewId="0">
      <selection activeCell="I12" sqref="I12"/>
    </sheetView>
  </sheetViews>
  <sheetFormatPr defaultRowHeight="15" x14ac:dyDescent="0.25"/>
  <cols>
    <col min="2" max="2" width="7.28515625" customWidth="1"/>
    <col min="3" max="3" width="10.28515625" bestFit="1" customWidth="1"/>
    <col min="4" max="4" width="48.5703125" customWidth="1"/>
    <col min="5" max="5" width="13.7109375" customWidth="1"/>
    <col min="6" max="6" width="10.7109375" customWidth="1"/>
    <col min="9" max="12" width="9.140625" customWidth="1"/>
  </cols>
  <sheetData>
    <row r="2" spans="2:7" ht="30" customHeight="1" x14ac:dyDescent="0.25">
      <c r="B2" s="142" t="s">
        <v>330</v>
      </c>
      <c r="C2" s="142" t="s">
        <v>331</v>
      </c>
      <c r="D2" s="142" t="s">
        <v>332</v>
      </c>
      <c r="E2" s="142" t="s">
        <v>333</v>
      </c>
      <c r="F2" s="143" t="s">
        <v>334</v>
      </c>
      <c r="G2" s="135"/>
    </row>
    <row r="3" spans="2:7" ht="42.75" x14ac:dyDescent="0.25">
      <c r="B3" s="141" t="s">
        <v>315</v>
      </c>
      <c r="C3" s="138" t="s">
        <v>97</v>
      </c>
      <c r="D3" s="139" t="s">
        <v>336</v>
      </c>
      <c r="E3" s="140" t="s">
        <v>298</v>
      </c>
      <c r="F3" s="138" t="s">
        <v>351</v>
      </c>
      <c r="G3" s="136" t="str">
        <f>IFERROR(VLOOKUP($H3,LGD!$M$5:$N$11,2,0),"")</f>
        <v/>
      </c>
    </row>
    <row r="4" spans="2:7" ht="42.75" x14ac:dyDescent="0.25">
      <c r="B4" s="141" t="s">
        <v>316</v>
      </c>
      <c r="C4" s="138" t="s">
        <v>97</v>
      </c>
      <c r="D4" s="139" t="s">
        <v>337</v>
      </c>
      <c r="E4" s="140" t="s">
        <v>288</v>
      </c>
      <c r="F4" s="138" t="s">
        <v>349</v>
      </c>
      <c r="G4" s="136" t="str">
        <f>IFERROR(VLOOKUP($H4,LGD!$M$5:$N$11,2,0),"")</f>
        <v/>
      </c>
    </row>
    <row r="5" spans="2:7" ht="57" x14ac:dyDescent="0.25">
      <c r="B5" s="141" t="s">
        <v>317</v>
      </c>
      <c r="C5" s="138" t="s">
        <v>97</v>
      </c>
      <c r="D5" s="139" t="s">
        <v>338</v>
      </c>
      <c r="E5" s="140" t="s">
        <v>289</v>
      </c>
      <c r="F5" s="138" t="s">
        <v>347</v>
      </c>
      <c r="G5" s="136" t="str">
        <f>IFERROR(VLOOKUP($H5,LGD!$M$5:$N$11,2,0),"")</f>
        <v/>
      </c>
    </row>
    <row r="6" spans="2:7" ht="42.75" x14ac:dyDescent="0.25">
      <c r="B6" s="141" t="s">
        <v>318</v>
      </c>
      <c r="C6" s="138" t="s">
        <v>97</v>
      </c>
      <c r="D6" s="139" t="s">
        <v>339</v>
      </c>
      <c r="E6" s="140" t="s">
        <v>290</v>
      </c>
      <c r="F6" s="138" t="s">
        <v>347</v>
      </c>
      <c r="G6" s="136" t="str">
        <f>IFERROR(VLOOKUP($H6,LGD!$M$5:$N$11,2,0),"")</f>
        <v/>
      </c>
    </row>
    <row r="7" spans="2:7" ht="42.75" x14ac:dyDescent="0.25">
      <c r="B7" s="141" t="s">
        <v>319</v>
      </c>
      <c r="C7" s="138" t="s">
        <v>97</v>
      </c>
      <c r="D7" s="139" t="s">
        <v>342</v>
      </c>
      <c r="E7" s="140" t="s">
        <v>291</v>
      </c>
      <c r="F7" s="138" t="s">
        <v>350</v>
      </c>
      <c r="G7" s="136" t="str">
        <f>IFERROR(VLOOKUP($H7,LGD!$M$5:$N$11,2,0),"")</f>
        <v/>
      </c>
    </row>
    <row r="8" spans="2:7" ht="42.75" x14ac:dyDescent="0.25">
      <c r="B8" s="141" t="s">
        <v>320</v>
      </c>
      <c r="C8" s="138" t="s">
        <v>97</v>
      </c>
      <c r="D8" s="139" t="s">
        <v>340</v>
      </c>
      <c r="E8" s="140" t="s">
        <v>292</v>
      </c>
      <c r="F8" s="138" t="s">
        <v>349</v>
      </c>
      <c r="G8" s="136" t="str">
        <f>IFERROR(VLOOKUP($H8,LGD!$M$5:$N$11,2,0),"")</f>
        <v/>
      </c>
    </row>
    <row r="9" spans="2:7" ht="42.75" x14ac:dyDescent="0.25">
      <c r="B9" s="141" t="s">
        <v>321</v>
      </c>
      <c r="C9" s="138" t="s">
        <v>97</v>
      </c>
      <c r="D9" s="139" t="s">
        <v>341</v>
      </c>
      <c r="E9" s="140" t="s">
        <v>293</v>
      </c>
      <c r="F9" s="138" t="s">
        <v>351</v>
      </c>
      <c r="G9" s="136" t="str">
        <f>IFERROR(VLOOKUP($H9,LGD!$M$5:$N$11,2,0),"")</f>
        <v/>
      </c>
    </row>
    <row r="10" spans="2:7" ht="57" x14ac:dyDescent="0.25">
      <c r="B10" s="141" t="s">
        <v>322</v>
      </c>
      <c r="C10" s="138" t="s">
        <v>97</v>
      </c>
      <c r="D10" s="139" t="s">
        <v>343</v>
      </c>
      <c r="E10" s="140" t="s">
        <v>294</v>
      </c>
      <c r="F10" s="138" t="s">
        <v>351</v>
      </c>
      <c r="G10" s="136" t="str">
        <f>IFERROR(VLOOKUP($H10,LGD!$M$5:$N$11,2,0),"")</f>
        <v/>
      </c>
    </row>
    <row r="11" spans="2:7" ht="57" x14ac:dyDescent="0.25">
      <c r="B11" s="141" t="s">
        <v>323</v>
      </c>
      <c r="C11" s="138" t="s">
        <v>97</v>
      </c>
      <c r="D11" s="139" t="s">
        <v>344</v>
      </c>
      <c r="E11" s="140" t="s">
        <v>295</v>
      </c>
      <c r="F11" s="138" t="s">
        <v>350</v>
      </c>
      <c r="G11" s="136" t="str">
        <f>IFERROR(VLOOKUP($H11,LGD!$M$5:$N$11,2,0),"")</f>
        <v/>
      </c>
    </row>
    <row r="12" spans="2:7" ht="42.75" x14ac:dyDescent="0.25">
      <c r="B12" s="141" t="s">
        <v>324</v>
      </c>
      <c r="C12" s="138" t="s">
        <v>97</v>
      </c>
      <c r="D12" s="139" t="s">
        <v>345</v>
      </c>
      <c r="E12" s="140" t="s">
        <v>296</v>
      </c>
      <c r="F12" s="138" t="s">
        <v>350</v>
      </c>
      <c r="G12" s="136" t="str">
        <f>IFERROR(VLOOKUP($H12,LGD!$M$5:$N$11,2,0),"")</f>
        <v/>
      </c>
    </row>
    <row r="13" spans="2:7" ht="42.75" x14ac:dyDescent="0.25">
      <c r="B13" s="141" t="s">
        <v>325</v>
      </c>
      <c r="C13" s="138" t="s">
        <v>97</v>
      </c>
      <c r="D13" s="139" t="s">
        <v>335</v>
      </c>
      <c r="E13" s="140" t="s">
        <v>297</v>
      </c>
      <c r="F13" s="138" t="s">
        <v>350</v>
      </c>
      <c r="G13" s="136" t="str">
        <f>IFERROR(VLOOKUP($H13,LGD!$M$5:$N$11,2,0),"")</f>
        <v/>
      </c>
    </row>
    <row r="14" spans="2:7" ht="57" x14ac:dyDescent="0.25">
      <c r="B14" s="141" t="s">
        <v>326</v>
      </c>
      <c r="C14" s="138" t="s">
        <v>97</v>
      </c>
      <c r="D14" s="139" t="s">
        <v>213</v>
      </c>
      <c r="E14" s="140" t="s">
        <v>171</v>
      </c>
      <c r="F14" s="138" t="s">
        <v>349</v>
      </c>
      <c r="G14" s="136" t="str">
        <f>IFERROR(VLOOKUP($H14,LGD!$M$5:$N$11,2,0),"")</f>
        <v/>
      </c>
    </row>
    <row r="15" spans="2:7" ht="57" x14ac:dyDescent="0.25">
      <c r="B15" s="141" t="s">
        <v>327</v>
      </c>
      <c r="C15" s="138" t="s">
        <v>97</v>
      </c>
      <c r="D15" s="139" t="s">
        <v>214</v>
      </c>
      <c r="E15" s="140" t="s">
        <v>172</v>
      </c>
      <c r="F15" s="138" t="s">
        <v>349</v>
      </c>
      <c r="G15" s="136" t="str">
        <f>IFERROR(VLOOKUP($H15,LGD!$M$5:$N$11,2,0),"")</f>
        <v/>
      </c>
    </row>
    <row r="16" spans="2:7" ht="90" customHeight="1" x14ac:dyDescent="0.25">
      <c r="B16" s="141" t="s">
        <v>328</v>
      </c>
      <c r="C16" s="138" t="s">
        <v>97</v>
      </c>
      <c r="D16" s="139" t="s">
        <v>309</v>
      </c>
      <c r="E16" s="140" t="s">
        <v>299</v>
      </c>
      <c r="F16" s="138" t="s">
        <v>349</v>
      </c>
      <c r="G16" s="136" t="str">
        <f>IFERROR(VLOOKUP($H16,LGD!$M$5:$N$11,2,0),"")</f>
        <v/>
      </c>
    </row>
    <row r="17" spans="2:7" ht="49.5" customHeight="1" x14ac:dyDescent="0.25">
      <c r="B17" s="141" t="s">
        <v>329</v>
      </c>
      <c r="C17" s="138" t="s">
        <v>97</v>
      </c>
      <c r="D17" s="139" t="s">
        <v>215</v>
      </c>
      <c r="E17" s="140" t="s">
        <v>174</v>
      </c>
      <c r="F17" s="138" t="s">
        <v>349</v>
      </c>
      <c r="G17" s="136" t="str">
        <f>IFERROR(VLOOKUP($H17,LGD!$M$5:$N$11,2,0),"")</f>
        <v/>
      </c>
    </row>
  </sheetData>
  <phoneticPr fontId="11" type="noConversion"/>
  <conditionalFormatting sqref="C3:G17">
    <cfRule type="expression" dxfId="25" priority="61">
      <formula>$E3="SPRINT4"</formula>
    </cfRule>
    <cfRule type="expression" dxfId="24" priority="62">
      <formula>$E3="SPRINT3"</formula>
    </cfRule>
    <cfRule type="expression" dxfId="23" priority="63">
      <formula>$E3="SPRINT2"</formula>
    </cfRule>
    <cfRule type="expression" dxfId="22" priority="64">
      <formula>$E3="SPRINT1"</formula>
    </cfRule>
    <cfRule type="expression" dxfId="21" priority="65">
      <formula>$M3="Transferido"</formula>
    </cfRule>
    <cfRule type="expression" dxfId="20" priority="66">
      <formula>$M3="Em Espera"</formula>
    </cfRule>
    <cfRule type="expression" dxfId="19" priority="67">
      <formula>$M3="Em Andamento"</formula>
    </cfRule>
    <cfRule type="expression" dxfId="18" priority="68">
      <formula>$M3="Concluído"</formula>
    </cfRule>
    <cfRule type="expression" dxfId="17" priority="69">
      <formula>$M3="Em Atraso"</formula>
    </cfRule>
  </conditionalFormatting>
  <dataValidations count="2">
    <dataValidation type="list" allowBlank="1" showInputMessage="1" showErrorMessage="1" errorTitle="Prezados," error="Essa célular aceita apenas as informações correspondente a SPRINT selecionada anteriormente. Dúvidas verifique o Product Backlog." sqref="E3:E9 E10:E17" xr:uid="{8764BDA7-D09C-4072-9E05-789FBA3B960B}">
      <formula1>INDIRECT($E3)</formula1>
    </dataValidation>
    <dataValidation type="list" allowBlank="1" showInputMessage="1" showErrorMessage="1" errorTitle="Prezados," error="Essa célula aceita apenas as informações: SPRINT1, SPRINT2, SPRINT3 e SPRINT4." sqref="C3:C9 C10:C17" xr:uid="{1298DEAD-87F5-408F-93AC-3230AF7059CC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Prezados," error="Essa célula aceita apenas as informações: 1, 2, 3, 5, 8 e 13. " xr:uid="{3A99CAC9-AE34-4A99-B218-BFC568F7FCED}">
          <x14:formula1>
            <xm:f>LGD!$M$5:$M$17</xm:f>
          </x14:formula1>
          <xm:sqref>F1:F1048576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8F6F-6677-4447-8A8B-26451E9CB7B9}">
  <sheetPr codeName="Planilha9"/>
  <dimension ref="A1:U44"/>
  <sheetViews>
    <sheetView showGridLines="0" showRowColHeaders="0" zoomScaleNormal="100" workbookViewId="0">
      <pane xSplit="18" ySplit="4" topLeftCell="S35" activePane="bottomRight" state="frozen"/>
      <selection pane="topRight" activeCell="S1" sqref="S1"/>
      <selection pane="bottomLeft" activeCell="A5" sqref="A5"/>
      <selection pane="bottomRight" activeCell="E42" sqref="E42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3.85546875" style="10" bestFit="1" customWidth="1"/>
    <col min="4" max="4" width="50.7109375" style="10" customWidth="1"/>
    <col min="5" max="5" width="11" style="10" customWidth="1"/>
    <col min="6" max="6" width="7" style="10" customWidth="1"/>
    <col min="7" max="15" width="7.7109375" style="10" customWidth="1"/>
    <col min="16" max="16384" width="9.140625" style="10"/>
  </cols>
  <sheetData>
    <row r="1" spans="1:21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/>
      <c r="U1"/>
    </row>
    <row r="2" spans="1:21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/>
      <c r="U2"/>
    </row>
    <row r="3" spans="1:21" ht="15.75" customHeight="1" x14ac:dyDescent="0.25"/>
    <row r="4" spans="1:21" ht="32.25" customHeight="1" x14ac:dyDescent="0.25">
      <c r="C4" s="86" t="s">
        <v>110</v>
      </c>
      <c r="D4" s="86" t="s">
        <v>115</v>
      </c>
      <c r="E4" s="87" t="s">
        <v>127</v>
      </c>
      <c r="F4" s="87" t="s">
        <v>116</v>
      </c>
      <c r="G4" s="87" t="s">
        <v>117</v>
      </c>
      <c r="H4" s="87" t="s">
        <v>118</v>
      </c>
      <c r="I4" s="87" t="s">
        <v>119</v>
      </c>
      <c r="J4" s="87" t="s">
        <v>120</v>
      </c>
      <c r="K4" s="87" t="s">
        <v>121</v>
      </c>
      <c r="L4" s="87" t="s">
        <v>122</v>
      </c>
      <c r="M4" s="87" t="s">
        <v>123</v>
      </c>
      <c r="N4" s="87" t="s">
        <v>124</v>
      </c>
      <c r="O4" s="87" t="s">
        <v>125</v>
      </c>
    </row>
    <row r="5" spans="1:21" ht="15" x14ac:dyDescent="0.25">
      <c r="C5" s="94" t="s">
        <v>95</v>
      </c>
      <c r="D5" s="95" t="s">
        <v>139</v>
      </c>
      <c r="E5" s="102">
        <f>_xlfn.XLOOKUP(D5,SprintBackLog[ATIVIDADE],SprintBackLog[DURAÇÃO])</f>
        <v>16</v>
      </c>
      <c r="F5" s="102">
        <v>1</v>
      </c>
      <c r="G5" s="102">
        <v>1</v>
      </c>
      <c r="H5" s="102">
        <v>2</v>
      </c>
      <c r="I5" s="102">
        <v>2</v>
      </c>
      <c r="J5" s="102">
        <v>2</v>
      </c>
      <c r="K5" s="102">
        <v>2</v>
      </c>
      <c r="L5" s="102">
        <v>2</v>
      </c>
      <c r="M5" s="102">
        <v>2</v>
      </c>
      <c r="N5" s="102">
        <v>1</v>
      </c>
      <c r="O5" s="102">
        <v>1</v>
      </c>
    </row>
    <row r="6" spans="1:21" ht="15" x14ac:dyDescent="0.25">
      <c r="C6" s="96" t="s">
        <v>95</v>
      </c>
      <c r="D6" s="97" t="s">
        <v>140</v>
      </c>
      <c r="E6" s="103">
        <f>_xlfn.XLOOKUP(D6,SprintBackLog[ATIVIDADE],SprintBackLog[DURAÇÃO])</f>
        <v>8</v>
      </c>
      <c r="F6" s="104">
        <v>1</v>
      </c>
      <c r="G6" s="104">
        <v>1</v>
      </c>
      <c r="H6" s="104">
        <v>1</v>
      </c>
      <c r="I6" s="104">
        <v>1</v>
      </c>
      <c r="J6" s="104">
        <v>1</v>
      </c>
      <c r="K6" s="104"/>
      <c r="L6" s="104">
        <v>1</v>
      </c>
      <c r="M6" s="104">
        <v>1</v>
      </c>
      <c r="N6" s="104"/>
      <c r="O6" s="104">
        <v>1</v>
      </c>
    </row>
    <row r="7" spans="1:21" ht="15" x14ac:dyDescent="0.25">
      <c r="C7" s="94" t="s">
        <v>95</v>
      </c>
      <c r="D7" s="95" t="s">
        <v>141</v>
      </c>
      <c r="E7" s="102">
        <f>_xlfn.XLOOKUP(D7,SprintBackLog[ATIVIDADE],SprintBackLog[DURAÇÃO])</f>
        <v>16</v>
      </c>
      <c r="F7" s="105">
        <v>2</v>
      </c>
      <c r="G7" s="105">
        <v>2</v>
      </c>
      <c r="H7" s="105">
        <v>1</v>
      </c>
      <c r="I7" s="105">
        <v>1</v>
      </c>
      <c r="J7" s="105">
        <v>1</v>
      </c>
      <c r="K7" s="105">
        <v>1</v>
      </c>
      <c r="L7" s="105">
        <v>2</v>
      </c>
      <c r="M7" s="105">
        <v>2</v>
      </c>
      <c r="N7" s="105">
        <v>2</v>
      </c>
      <c r="O7" s="105">
        <v>2</v>
      </c>
    </row>
    <row r="8" spans="1:21" ht="15" x14ac:dyDescent="0.25">
      <c r="C8" s="98" t="s">
        <v>95</v>
      </c>
      <c r="D8" s="99" t="s">
        <v>142</v>
      </c>
      <c r="E8" s="104">
        <f>_xlfn.XLOOKUP(D8,SprintBackLog[ATIVIDADE],SprintBackLog[DURAÇÃO])</f>
        <v>4</v>
      </c>
      <c r="F8" s="104">
        <v>1</v>
      </c>
      <c r="G8" s="104"/>
      <c r="H8" s="104">
        <v>1</v>
      </c>
      <c r="I8" s="104"/>
      <c r="J8" s="104">
        <v>1</v>
      </c>
      <c r="K8" s="104"/>
      <c r="L8" s="104">
        <v>1</v>
      </c>
      <c r="M8" s="104"/>
      <c r="N8" s="104"/>
      <c r="O8" s="104"/>
    </row>
    <row r="9" spans="1:21" ht="15" x14ac:dyDescent="0.25">
      <c r="C9" s="94" t="s">
        <v>95</v>
      </c>
      <c r="D9" s="95" t="s">
        <v>143</v>
      </c>
      <c r="E9" s="102">
        <f>_xlfn.XLOOKUP(D9,SprintBackLog[ATIVIDADE],SprintBackLog[DURAÇÃO])</f>
        <v>8</v>
      </c>
      <c r="F9" s="103"/>
      <c r="G9" s="103"/>
      <c r="H9" s="103"/>
      <c r="I9" s="103"/>
      <c r="J9" s="103"/>
      <c r="K9" s="103"/>
      <c r="L9" s="103"/>
      <c r="M9" s="103"/>
      <c r="N9" s="103"/>
      <c r="O9" s="103"/>
    </row>
    <row r="10" spans="1:21" ht="15" x14ac:dyDescent="0.25">
      <c r="C10" s="94" t="s">
        <v>95</v>
      </c>
      <c r="D10" s="95" t="s">
        <v>144</v>
      </c>
      <c r="E10" s="102">
        <f>_xlfn.XLOOKUP(D10,SprintBackLog[ATIVIDADE],SprintBackLog[DURAÇÃO])</f>
        <v>6</v>
      </c>
      <c r="F10" s="102"/>
      <c r="G10" s="102"/>
      <c r="H10" s="102"/>
      <c r="I10" s="102"/>
      <c r="J10" s="102"/>
      <c r="K10" s="102"/>
      <c r="L10" s="102"/>
      <c r="M10" s="102"/>
      <c r="N10" s="102"/>
      <c r="O10" s="102"/>
    </row>
    <row r="11" spans="1:21" ht="15" x14ac:dyDescent="0.25">
      <c r="C11" s="94" t="s">
        <v>95</v>
      </c>
      <c r="D11" s="95" t="s">
        <v>145</v>
      </c>
      <c r="E11" s="102">
        <f>_xlfn.XLOOKUP(D11,SprintBackLog[ATIVIDADE],SprintBackLog[DURAÇÃO])</f>
        <v>6</v>
      </c>
      <c r="F11" s="102"/>
      <c r="G11" s="102"/>
      <c r="H11" s="102"/>
      <c r="I11" s="102"/>
      <c r="J11" s="102"/>
      <c r="K11" s="102"/>
      <c r="L11" s="102"/>
      <c r="M11" s="102"/>
      <c r="N11" s="102"/>
      <c r="O11" s="102"/>
    </row>
    <row r="12" spans="1:21" ht="15" x14ac:dyDescent="0.25">
      <c r="C12" s="94" t="s">
        <v>95</v>
      </c>
      <c r="D12" s="95" t="s">
        <v>146</v>
      </c>
      <c r="E12" s="102">
        <f>_xlfn.XLOOKUP(D12,SprintBackLog[ATIVIDADE],SprintBackLog[DURAÇÃO])</f>
        <v>6</v>
      </c>
      <c r="F12" s="102"/>
      <c r="G12" s="102"/>
      <c r="H12" s="102"/>
      <c r="I12" s="102"/>
      <c r="J12" s="102"/>
      <c r="K12" s="102"/>
      <c r="L12" s="102"/>
      <c r="M12" s="102"/>
      <c r="N12" s="102"/>
      <c r="O12" s="102"/>
    </row>
    <row r="13" spans="1:21" ht="15" x14ac:dyDescent="0.25">
      <c r="C13" s="94" t="s">
        <v>95</v>
      </c>
      <c r="D13" s="95" t="s">
        <v>147</v>
      </c>
      <c r="E13" s="102">
        <f>_xlfn.XLOOKUP(D13,SprintBackLog[ATIVIDADE],SprintBackLog[DURAÇÃO])</f>
        <v>6</v>
      </c>
      <c r="F13" s="102"/>
      <c r="G13" s="102"/>
      <c r="H13" s="102"/>
      <c r="I13" s="102"/>
      <c r="J13" s="102"/>
      <c r="K13" s="102"/>
      <c r="L13" s="102"/>
      <c r="M13" s="102"/>
      <c r="N13" s="102"/>
      <c r="O13" s="102"/>
    </row>
    <row r="14" spans="1:21" ht="15" x14ac:dyDescent="0.25">
      <c r="C14" s="94" t="s">
        <v>95</v>
      </c>
      <c r="D14" s="95" t="s">
        <v>148</v>
      </c>
      <c r="E14" s="102">
        <f>_xlfn.XLOOKUP(D14,SprintBackLog[ATIVIDADE],SprintBackLog[DURAÇÃO])</f>
        <v>6</v>
      </c>
      <c r="F14" s="102"/>
      <c r="G14" s="102"/>
      <c r="H14" s="102"/>
      <c r="I14" s="102"/>
      <c r="J14" s="102"/>
      <c r="K14" s="102"/>
      <c r="L14" s="102"/>
      <c r="M14" s="102"/>
      <c r="N14" s="102"/>
      <c r="O14" s="102"/>
    </row>
    <row r="15" spans="1:21" ht="15" x14ac:dyDescent="0.25">
      <c r="C15" s="94" t="s">
        <v>95</v>
      </c>
      <c r="D15" s="95" t="s">
        <v>149</v>
      </c>
      <c r="E15" s="102" t="e">
        <f>_xlfn.XLOOKUP(D15,SprintBackLog[ATIVIDADE],SprintBackLog[DURAÇÃO])</f>
        <v>#N/A</v>
      </c>
      <c r="F15" s="102"/>
      <c r="G15" s="102"/>
      <c r="H15" s="102"/>
      <c r="I15" s="102"/>
      <c r="J15" s="102"/>
      <c r="K15" s="102"/>
      <c r="L15" s="102"/>
      <c r="M15" s="102"/>
      <c r="N15" s="102"/>
      <c r="O15" s="102"/>
    </row>
    <row r="16" spans="1:21" ht="15" x14ac:dyDescent="0.25">
      <c r="C16" s="94" t="s">
        <v>95</v>
      </c>
      <c r="D16" s="95" t="s">
        <v>150</v>
      </c>
      <c r="E16" s="102">
        <f>_xlfn.XLOOKUP(D16,SprintBackLog[ATIVIDADE],SprintBackLog[DURAÇÃO])</f>
        <v>1</v>
      </c>
      <c r="F16" s="102"/>
      <c r="G16" s="102"/>
      <c r="H16" s="102"/>
      <c r="I16" s="102"/>
      <c r="J16" s="102"/>
      <c r="K16" s="102"/>
      <c r="L16" s="102"/>
      <c r="M16" s="102"/>
      <c r="N16" s="102"/>
      <c r="O16" s="102"/>
    </row>
    <row r="17" spans="3:15" ht="15" x14ac:dyDescent="0.25">
      <c r="C17" s="94" t="s">
        <v>95</v>
      </c>
      <c r="D17" s="95" t="s">
        <v>151</v>
      </c>
      <c r="E17" s="102">
        <f>_xlfn.XLOOKUP(D17,SprintBackLog[ATIVIDADE],SprintBackLog[DURAÇÃO])</f>
        <v>1</v>
      </c>
      <c r="F17" s="102"/>
      <c r="G17" s="102"/>
      <c r="H17" s="102"/>
      <c r="I17" s="102"/>
      <c r="J17" s="102"/>
      <c r="K17" s="102"/>
      <c r="L17" s="102"/>
      <c r="M17" s="102"/>
      <c r="N17" s="102"/>
      <c r="O17" s="102"/>
    </row>
    <row r="18" spans="3:15" ht="15" x14ac:dyDescent="0.25">
      <c r="C18" s="94" t="s">
        <v>95</v>
      </c>
      <c r="D18" s="95" t="s">
        <v>152</v>
      </c>
      <c r="E18" s="102">
        <f>_xlfn.XLOOKUP(D18,SprintBackLog[ATIVIDADE],SprintBackLog[DURAÇÃO])</f>
        <v>1</v>
      </c>
      <c r="F18" s="102"/>
      <c r="G18" s="102"/>
      <c r="H18" s="102"/>
      <c r="I18" s="102"/>
      <c r="J18" s="102"/>
      <c r="K18" s="102"/>
      <c r="L18" s="102"/>
      <c r="M18" s="102"/>
      <c r="N18" s="102"/>
      <c r="O18" s="102"/>
    </row>
    <row r="19" spans="3:15" ht="15" x14ac:dyDescent="0.25">
      <c r="C19" s="94" t="s">
        <v>95</v>
      </c>
      <c r="D19" s="95" t="s">
        <v>153</v>
      </c>
      <c r="E19" s="102" t="str">
        <f>_xlfn.XLOOKUP(D19,SprintBackLog[ATIVIDADE],SprintBackLog[DURAÇÃO])</f>
        <v/>
      </c>
      <c r="F19" s="102"/>
      <c r="G19" s="102"/>
      <c r="H19" s="102"/>
      <c r="I19" s="102"/>
      <c r="J19" s="102"/>
      <c r="K19" s="102"/>
      <c r="L19" s="102"/>
      <c r="M19" s="102"/>
      <c r="N19" s="102"/>
      <c r="O19" s="102"/>
    </row>
    <row r="20" spans="3:15" ht="15" x14ac:dyDescent="0.25">
      <c r="C20" s="94" t="s">
        <v>96</v>
      </c>
      <c r="D20" s="95" t="s">
        <v>154</v>
      </c>
      <c r="E20" s="102">
        <f>_xlfn.XLOOKUP(D20,SprintBackLog[ATIVIDADE],SprintBackLog[DURAÇÃO])</f>
        <v>8</v>
      </c>
      <c r="F20" s="102"/>
      <c r="G20" s="102"/>
      <c r="H20" s="102"/>
      <c r="I20" s="102"/>
      <c r="J20" s="102"/>
      <c r="K20" s="102"/>
      <c r="L20" s="102"/>
      <c r="M20" s="102"/>
      <c r="N20" s="102"/>
      <c r="O20" s="102"/>
    </row>
    <row r="21" spans="3:15" ht="15" x14ac:dyDescent="0.25">
      <c r="C21" s="94" t="s">
        <v>96</v>
      </c>
      <c r="D21" s="95" t="s">
        <v>155</v>
      </c>
      <c r="E21" s="102">
        <f>_xlfn.XLOOKUP(D21,SprintBackLog[ATIVIDADE],SprintBackLog[DURAÇÃO])</f>
        <v>8</v>
      </c>
      <c r="F21" s="102"/>
      <c r="G21" s="102"/>
      <c r="H21" s="102"/>
      <c r="I21" s="102"/>
      <c r="J21" s="102"/>
      <c r="K21" s="102"/>
      <c r="L21" s="102"/>
      <c r="M21" s="102"/>
      <c r="N21" s="102"/>
      <c r="O21" s="102"/>
    </row>
    <row r="22" spans="3:15" ht="15" x14ac:dyDescent="0.25">
      <c r="C22" s="94" t="s">
        <v>96</v>
      </c>
      <c r="D22" s="95" t="s">
        <v>156</v>
      </c>
      <c r="E22" s="102">
        <f>_xlfn.XLOOKUP(D22,SprintBackLog[ATIVIDADE],SprintBackLog[DURAÇÃO])</f>
        <v>8</v>
      </c>
      <c r="F22" s="102"/>
      <c r="G22" s="102"/>
      <c r="H22" s="102"/>
      <c r="I22" s="102"/>
      <c r="J22" s="102"/>
      <c r="K22" s="102"/>
      <c r="L22" s="102"/>
      <c r="M22" s="102"/>
      <c r="N22" s="102"/>
      <c r="O22" s="102"/>
    </row>
    <row r="23" spans="3:15" ht="15" x14ac:dyDescent="0.25">
      <c r="C23" s="94" t="s">
        <v>96</v>
      </c>
      <c r="D23" s="95" t="s">
        <v>157</v>
      </c>
      <c r="E23" s="102">
        <f>_xlfn.XLOOKUP(D23,SprintBackLog[ATIVIDADE],SprintBackLog[DURAÇÃO])</f>
        <v>8</v>
      </c>
      <c r="F23" s="102"/>
      <c r="G23" s="102"/>
      <c r="H23" s="102"/>
      <c r="I23" s="102"/>
      <c r="J23" s="102"/>
      <c r="K23" s="102"/>
      <c r="L23" s="102"/>
      <c r="M23" s="102"/>
      <c r="N23" s="102"/>
      <c r="O23" s="102"/>
    </row>
    <row r="24" spans="3:15" ht="15" x14ac:dyDescent="0.25">
      <c r="C24" s="94" t="s">
        <v>96</v>
      </c>
      <c r="D24" s="95" t="s">
        <v>158</v>
      </c>
      <c r="E24" s="102">
        <f>_xlfn.XLOOKUP(D24,SprintBackLog[ATIVIDADE],SprintBackLog[DURAÇÃO])</f>
        <v>8</v>
      </c>
      <c r="F24" s="102"/>
      <c r="G24" s="102"/>
      <c r="H24" s="102"/>
      <c r="I24" s="102"/>
      <c r="J24" s="102"/>
      <c r="K24" s="102"/>
      <c r="L24" s="102"/>
      <c r="M24" s="102"/>
      <c r="N24" s="102"/>
      <c r="O24" s="102"/>
    </row>
    <row r="25" spans="3:15" ht="15" x14ac:dyDescent="0.25">
      <c r="C25" s="94" t="s">
        <v>96</v>
      </c>
      <c r="D25" s="95" t="s">
        <v>159</v>
      </c>
      <c r="E25" s="102">
        <f>_xlfn.XLOOKUP(D25,SprintBackLog[ATIVIDADE],SprintBackLog[DURAÇÃO])</f>
        <v>8</v>
      </c>
      <c r="F25" s="102"/>
      <c r="G25" s="102"/>
      <c r="H25" s="102"/>
      <c r="I25" s="102"/>
      <c r="J25" s="102"/>
      <c r="K25" s="102"/>
      <c r="L25" s="102"/>
      <c r="M25" s="102"/>
      <c r="N25" s="102"/>
      <c r="O25" s="102"/>
    </row>
    <row r="26" spans="3:15" ht="15" x14ac:dyDescent="0.25">
      <c r="C26" s="94" t="s">
        <v>96</v>
      </c>
      <c r="D26" s="95" t="s">
        <v>160</v>
      </c>
      <c r="E26" s="102">
        <f>_xlfn.XLOOKUP(D26,SprintBackLog[ATIVIDADE],SprintBackLog[DURAÇÃO])</f>
        <v>8</v>
      </c>
      <c r="F26" s="102"/>
      <c r="G26" s="102"/>
      <c r="H26" s="102"/>
      <c r="I26" s="102"/>
      <c r="J26" s="102"/>
      <c r="K26" s="102"/>
      <c r="L26" s="102"/>
      <c r="M26" s="102"/>
      <c r="N26" s="102"/>
      <c r="O26" s="102"/>
    </row>
    <row r="27" spans="3:15" ht="15" x14ac:dyDescent="0.25">
      <c r="C27" s="94" t="s">
        <v>96</v>
      </c>
      <c r="D27" s="95" t="s">
        <v>161</v>
      </c>
      <c r="E27" s="102">
        <f>_xlfn.XLOOKUP(D27,SprintBackLog[ATIVIDADE],SprintBackLog[DURAÇÃO])</f>
        <v>8</v>
      </c>
      <c r="F27" s="102"/>
      <c r="G27" s="102"/>
      <c r="H27" s="102"/>
      <c r="I27" s="102"/>
      <c r="J27" s="102"/>
      <c r="K27" s="102"/>
      <c r="L27" s="102"/>
      <c r="M27" s="102"/>
      <c r="N27" s="102"/>
      <c r="O27" s="102"/>
    </row>
    <row r="28" spans="3:15" ht="15" x14ac:dyDescent="0.25">
      <c r="C28" s="94" t="s">
        <v>96</v>
      </c>
      <c r="D28" s="95" t="s">
        <v>162</v>
      </c>
      <c r="E28" s="102">
        <f>_xlfn.XLOOKUP(D28,SprintBackLog[ATIVIDADE],SprintBackLog[DURAÇÃO])</f>
        <v>8</v>
      </c>
      <c r="F28" s="102"/>
      <c r="G28" s="102"/>
      <c r="H28" s="102"/>
      <c r="I28" s="102"/>
      <c r="J28" s="102"/>
      <c r="K28" s="102"/>
      <c r="L28" s="102"/>
      <c r="M28" s="102"/>
      <c r="N28" s="102"/>
      <c r="O28" s="102"/>
    </row>
    <row r="29" spans="3:15" ht="15" x14ac:dyDescent="0.25">
      <c r="C29" s="94" t="s">
        <v>97</v>
      </c>
      <c r="D29" s="95" t="s">
        <v>163</v>
      </c>
      <c r="E29" s="102">
        <f>_xlfn.XLOOKUP(D29,SprintBackLog[ATIVIDADE],SprintBackLog[DURAÇÃO])</f>
        <v>6</v>
      </c>
      <c r="F29" s="102"/>
      <c r="G29" s="102"/>
      <c r="H29" s="102"/>
      <c r="I29" s="102"/>
      <c r="J29" s="102"/>
      <c r="K29" s="102"/>
      <c r="L29" s="102"/>
      <c r="M29" s="102"/>
      <c r="N29" s="102"/>
      <c r="O29" s="102"/>
    </row>
    <row r="30" spans="3:15" ht="15" x14ac:dyDescent="0.25">
      <c r="C30" s="94" t="s">
        <v>97</v>
      </c>
      <c r="D30" s="95" t="s">
        <v>164</v>
      </c>
      <c r="E30" s="102">
        <f>_xlfn.XLOOKUP(D30,SprintBackLog[ATIVIDADE],SprintBackLog[DURAÇÃO])</f>
        <v>6</v>
      </c>
      <c r="F30" s="102"/>
      <c r="G30" s="102"/>
      <c r="H30" s="102"/>
      <c r="I30" s="102"/>
      <c r="J30" s="102"/>
      <c r="K30" s="102"/>
      <c r="L30" s="102"/>
      <c r="M30" s="102"/>
      <c r="N30" s="102"/>
      <c r="O30" s="102"/>
    </row>
    <row r="31" spans="3:15" ht="15" x14ac:dyDescent="0.25">
      <c r="C31" s="94" t="s">
        <v>97</v>
      </c>
      <c r="D31" s="95" t="s">
        <v>165</v>
      </c>
      <c r="E31" s="102">
        <f>_xlfn.XLOOKUP(D31,SprintBackLog[ATIVIDADE],SprintBackLog[DURAÇÃO])</f>
        <v>6</v>
      </c>
      <c r="F31" s="102"/>
      <c r="G31" s="102"/>
      <c r="H31" s="102"/>
      <c r="I31" s="102"/>
      <c r="J31" s="102"/>
      <c r="K31" s="102"/>
      <c r="L31" s="102"/>
      <c r="M31" s="102"/>
      <c r="N31" s="102"/>
      <c r="O31" s="102"/>
    </row>
    <row r="32" spans="3:15" ht="15" x14ac:dyDescent="0.25">
      <c r="C32" s="94" t="s">
        <v>98</v>
      </c>
      <c r="D32" s="95" t="s">
        <v>166</v>
      </c>
      <c r="E32" s="102" t="e">
        <f>_xlfn.XLOOKUP(D32,SprintBackLog[ATIVIDADE],SprintBackLog[DURAÇÃO])</f>
        <v>#N/A</v>
      </c>
      <c r="F32" s="102"/>
      <c r="G32" s="102"/>
      <c r="H32" s="102"/>
      <c r="I32" s="102"/>
      <c r="J32" s="102"/>
      <c r="K32" s="102"/>
      <c r="L32" s="102"/>
      <c r="M32" s="102"/>
      <c r="N32" s="102"/>
      <c r="O32" s="102"/>
    </row>
    <row r="33" spans="3:15" ht="15" x14ac:dyDescent="0.25">
      <c r="C33" s="94" t="s">
        <v>98</v>
      </c>
      <c r="D33" s="95" t="s">
        <v>167</v>
      </c>
      <c r="E33" s="102" t="e">
        <f>_xlfn.XLOOKUP(D33,SprintBackLog[ATIVIDADE],SprintBackLog[DURAÇÃO])</f>
        <v>#N/A</v>
      </c>
      <c r="F33" s="102"/>
      <c r="G33" s="102"/>
      <c r="H33" s="102"/>
      <c r="I33" s="102"/>
      <c r="J33" s="102"/>
      <c r="K33" s="102"/>
      <c r="L33" s="102"/>
      <c r="M33" s="102"/>
      <c r="N33" s="102"/>
      <c r="O33" s="102"/>
    </row>
    <row r="34" spans="3:15" ht="15" x14ac:dyDescent="0.25">
      <c r="C34" s="94" t="s">
        <v>98</v>
      </c>
      <c r="D34" s="95" t="s">
        <v>168</v>
      </c>
      <c r="E34" s="102" t="e">
        <f>_xlfn.XLOOKUP(D34,SprintBackLog[ATIVIDADE],SprintBackLog[DURAÇÃO])</f>
        <v>#N/A</v>
      </c>
      <c r="F34" s="102"/>
      <c r="G34" s="102"/>
      <c r="H34" s="102"/>
      <c r="I34" s="102"/>
      <c r="J34" s="102"/>
      <c r="K34" s="102"/>
      <c r="L34" s="102"/>
      <c r="M34" s="102"/>
      <c r="N34" s="102"/>
      <c r="O34" s="102"/>
    </row>
    <row r="35" spans="3:15" ht="15" x14ac:dyDescent="0.25">
      <c r="C35" s="94" t="s">
        <v>98</v>
      </c>
      <c r="D35" s="95" t="s">
        <v>169</v>
      </c>
      <c r="E35" s="102" t="e">
        <f>_xlfn.XLOOKUP(D35,SprintBackLog[ATIVIDADE],SprintBackLog[DURAÇÃO])</f>
        <v>#N/A</v>
      </c>
      <c r="F35" s="102"/>
      <c r="G35" s="102"/>
      <c r="H35" s="102"/>
      <c r="I35" s="102"/>
      <c r="J35" s="102"/>
      <c r="K35" s="102"/>
      <c r="L35" s="102"/>
      <c r="M35" s="102"/>
      <c r="N35" s="102"/>
      <c r="O35" s="102"/>
    </row>
    <row r="36" spans="3:15" ht="15" x14ac:dyDescent="0.25">
      <c r="C36" s="94" t="s">
        <v>98</v>
      </c>
      <c r="D36" s="95" t="s">
        <v>170</v>
      </c>
      <c r="E36" s="102" t="e">
        <f>_xlfn.XLOOKUP(D36,SprintBackLog[ATIVIDADE],SprintBackLog[DURAÇÃO])</f>
        <v>#N/A</v>
      </c>
      <c r="F36" s="102"/>
      <c r="G36" s="102"/>
      <c r="H36" s="102"/>
      <c r="I36" s="102"/>
      <c r="J36" s="102"/>
      <c r="K36" s="102"/>
      <c r="L36" s="102"/>
      <c r="M36" s="102"/>
      <c r="N36" s="102"/>
      <c r="O36" s="102"/>
    </row>
    <row r="37" spans="3:15" ht="15" x14ac:dyDescent="0.25">
      <c r="C37" s="94" t="s">
        <v>98</v>
      </c>
      <c r="D37" s="95" t="s">
        <v>171</v>
      </c>
      <c r="E37" s="102">
        <f>_xlfn.XLOOKUP(D37,SprintBackLog[ATIVIDADE],SprintBackLog[DURAÇÃO])</f>
        <v>8</v>
      </c>
      <c r="F37" s="102"/>
      <c r="G37" s="102"/>
      <c r="H37" s="102"/>
      <c r="I37" s="102"/>
      <c r="J37" s="102"/>
      <c r="K37" s="102"/>
      <c r="L37" s="102"/>
      <c r="M37" s="102"/>
      <c r="N37" s="102"/>
      <c r="O37" s="102"/>
    </row>
    <row r="38" spans="3:15" ht="15" x14ac:dyDescent="0.25">
      <c r="C38" s="94" t="s">
        <v>98</v>
      </c>
      <c r="D38" s="95" t="s">
        <v>172</v>
      </c>
      <c r="E38" s="102">
        <f>_xlfn.XLOOKUP(D38,SprintBackLog[ATIVIDADE],SprintBackLog[DURAÇÃO])</f>
        <v>8</v>
      </c>
      <c r="F38" s="102"/>
      <c r="G38" s="102"/>
      <c r="H38" s="102"/>
      <c r="I38" s="102"/>
      <c r="J38" s="102"/>
      <c r="K38" s="102"/>
      <c r="L38" s="102"/>
      <c r="M38" s="102"/>
      <c r="N38" s="102"/>
      <c r="O38" s="102"/>
    </row>
    <row r="39" spans="3:15" ht="30" x14ac:dyDescent="0.25">
      <c r="C39" s="94" t="s">
        <v>98</v>
      </c>
      <c r="D39" s="95" t="s">
        <v>173</v>
      </c>
      <c r="E39" s="102" t="e">
        <f>_xlfn.XLOOKUP(D39,SprintBackLog[ATIVIDADE],SprintBackLog[DURAÇÃO])</f>
        <v>#N/A</v>
      </c>
      <c r="F39" s="102"/>
      <c r="G39" s="102"/>
      <c r="H39" s="102"/>
      <c r="I39" s="102"/>
      <c r="J39" s="102"/>
      <c r="K39" s="102"/>
      <c r="L39" s="102"/>
      <c r="M39" s="102"/>
      <c r="N39" s="102"/>
      <c r="O39" s="102"/>
    </row>
    <row r="40" spans="3:15" ht="15" x14ac:dyDescent="0.25">
      <c r="C40" s="94" t="s">
        <v>98</v>
      </c>
      <c r="D40" s="95" t="s">
        <v>174</v>
      </c>
      <c r="E40" s="102">
        <f>_xlfn.XLOOKUP(D40,SprintBackLog[ATIVIDADE],SprintBackLog[DURAÇÃO])</f>
        <v>8</v>
      </c>
      <c r="F40" s="102"/>
      <c r="G40" s="102"/>
      <c r="H40" s="102"/>
      <c r="I40" s="102"/>
      <c r="J40" s="102"/>
      <c r="K40" s="102"/>
      <c r="L40" s="102"/>
      <c r="M40" s="102"/>
      <c r="N40" s="102"/>
      <c r="O40" s="102"/>
    </row>
    <row r="41" spans="3:15" ht="15" x14ac:dyDescent="0.25">
      <c r="C41" s="86"/>
      <c r="D41" s="86"/>
      <c r="E41" s="106" t="s">
        <v>128</v>
      </c>
      <c r="F41" s="90">
        <v>1</v>
      </c>
      <c r="G41" s="90">
        <v>2</v>
      </c>
      <c r="H41" s="90">
        <v>3</v>
      </c>
      <c r="I41" s="90">
        <v>4</v>
      </c>
      <c r="J41" s="90">
        <v>5</v>
      </c>
      <c r="K41" s="90">
        <v>6</v>
      </c>
      <c r="L41" s="90">
        <v>7</v>
      </c>
      <c r="M41" s="90">
        <v>8</v>
      </c>
      <c r="N41" s="90">
        <v>9</v>
      </c>
      <c r="O41" s="90">
        <v>10</v>
      </c>
    </row>
    <row r="42" spans="3:15" ht="18" x14ac:dyDescent="0.25">
      <c r="C42" s="185" t="s">
        <v>95</v>
      </c>
      <c r="D42" s="88" t="s">
        <v>112</v>
      </c>
      <c r="E42" s="103" t="e">
        <f>SUMIFS(BurnDown[PERÍODO],BurnDown[SPRINTS],$C$42)</f>
        <v>#N/A</v>
      </c>
      <c r="F42" s="108" t="e" cm="1">
        <f t="array" ref="F42">IF(SUMPRODUCT((BurnDown[SPRINTS]=$C$42)*BurnDown[DIA 1])&gt;0,E42-SUMPRODUCT((BurnDown[SPRINTS]=$C$42)*BurnDown[DIA 1]),"")</f>
        <v>#N/A</v>
      </c>
      <c r="G42" s="108" t="e" cm="1">
        <f t="array" ref="G42">IF(SUMPRODUCT((BurnDown[SPRINTS]=$C$42)*BurnDown[DIA 2])&gt;0,F42-SUMPRODUCT((BurnDown[SPRINTS]=$C$42)*BurnDown[DIA 2]),"")</f>
        <v>#N/A</v>
      </c>
      <c r="H42" s="108" t="e" cm="1">
        <f t="array" ref="H42">IF(SUMPRODUCT((BurnDown[SPRINTS]=$C$42)*BurnDown[DIA 3])&gt;0,G42-SUMPRODUCT((BurnDown[SPRINTS]=$C$42)*BurnDown[DIA 3]),"")</f>
        <v>#N/A</v>
      </c>
      <c r="I42" s="108" t="e" cm="1">
        <f t="array" ref="I42">IF(SUMPRODUCT((BurnDown[SPRINTS]=$C$42)*BurnDown[DIA 4])&gt;0,H42-SUMPRODUCT((BurnDown[SPRINTS]=$C$42)*BurnDown[DIA 4]),"")</f>
        <v>#N/A</v>
      </c>
      <c r="J42" s="108" t="e" cm="1">
        <f t="array" ref="J42">IF(SUMPRODUCT((BurnDown[SPRINTS]=$C$42)*BurnDown[DIA 5])&gt;0,I42-SUMPRODUCT((BurnDown[SPRINTS]=$C$42)*BurnDown[DIA 5]),"")</f>
        <v>#N/A</v>
      </c>
      <c r="K42" s="108" t="e" cm="1">
        <f t="array" ref="K42">IF(SUMPRODUCT((BurnDown[SPRINTS]=$C$42)*BurnDown[DIA 6])&gt;0,J42-SUMPRODUCT((BurnDown[SPRINTS]=$C$42)*BurnDown[DIA 6]),"")</f>
        <v>#N/A</v>
      </c>
      <c r="L42" s="108" t="e" cm="1">
        <f t="array" ref="L42">IF(SUMPRODUCT((BurnDown[SPRINTS]=$C$42)*BurnDown[DIA 7])&gt;0,K42-SUMPRODUCT((BurnDown[SPRINTS]=$C$42)*BurnDown[DIA 7]),"")</f>
        <v>#N/A</v>
      </c>
      <c r="M42" s="108" t="e" cm="1">
        <f t="array" ref="M42">IF(SUMPRODUCT((BurnDown[SPRINTS]=$C$42)*BurnDown[DIA 8])&gt;0,L42-SUMPRODUCT((BurnDown[SPRINTS]=$C$42)*BurnDown[DIA 8]),"")</f>
        <v>#N/A</v>
      </c>
      <c r="N42" s="108" t="e" cm="1">
        <f t="array" ref="N42">IF(SUMPRODUCT((BurnDown[SPRINTS]=$C$42)*BurnDown[DIA 9])&gt;0,M42-SUMPRODUCT((BurnDown[SPRINTS]=$C$42)*BurnDown[DIA 9]),"")</f>
        <v>#N/A</v>
      </c>
      <c r="O42" s="108" t="e" cm="1">
        <f t="array" ref="O42">IF(SUMPRODUCT((BurnDown[SPRINTS]=$C$42)*BurnDown[DIA 10])&gt;0,N42-SUMPRODUCT((BurnDown[SPRINTS]=$C$42)*BurnDown[DIA 10]),"")</f>
        <v>#N/A</v>
      </c>
    </row>
    <row r="43" spans="3:15" ht="18.75" thickBot="1" x14ac:dyDescent="0.3">
      <c r="C43" s="186"/>
      <c r="D43" s="89" t="s">
        <v>113</v>
      </c>
      <c r="E43" s="107" t="e">
        <f>SUMIFS(BurnDown[PERÍODO],BurnDown[SPRINTS],$C$42)</f>
        <v>#N/A</v>
      </c>
      <c r="F43" s="107" t="e">
        <f>E43-($E$43/COUNTA('BDW 1'!$F$4:$O$4))</f>
        <v>#N/A</v>
      </c>
      <c r="G43" s="107" t="e">
        <f>F43-($E$43/COUNTA('BDW 1'!$F$4:$O$4))</f>
        <v>#N/A</v>
      </c>
      <c r="H43" s="107" t="e">
        <f>G43-($E$43/COUNTA('BDW 1'!$F$4:$O$4))</f>
        <v>#N/A</v>
      </c>
      <c r="I43" s="107" t="e">
        <f>H43-($E$43/COUNTA('BDW 1'!$F$4:$O$4))</f>
        <v>#N/A</v>
      </c>
      <c r="J43" s="107" t="e">
        <f>I43-($E$43/COUNTA('BDW 1'!$F$4:$O$4))</f>
        <v>#N/A</v>
      </c>
      <c r="K43" s="107" t="e">
        <f>J43-($E$43/COUNTA('BDW 1'!$F$4:$O$4))</f>
        <v>#N/A</v>
      </c>
      <c r="L43" s="107" t="e">
        <f>K43-($E$43/COUNTA('BDW 1'!$F$4:$O$4))</f>
        <v>#N/A</v>
      </c>
      <c r="M43" s="107" t="e">
        <f>L43-($E$43/COUNTA('BDW 1'!$F$4:$O$4))</f>
        <v>#N/A</v>
      </c>
      <c r="N43" s="107" t="e">
        <f>M43-($E$43/COUNTA('BDW 1'!$F$4:$O$4))</f>
        <v>#N/A</v>
      </c>
      <c r="O43" s="107" t="e">
        <f>N43-($E$43/COUNTA('BDW 1'!$F$4:$O$4))</f>
        <v>#N/A</v>
      </c>
    </row>
    <row r="44" spans="3:15" ht="15" thickTop="1" x14ac:dyDescent="0.25"/>
  </sheetData>
  <mergeCells count="1">
    <mergeCell ref="C42:C43"/>
  </mergeCells>
  <conditionalFormatting sqref="C5:O40">
    <cfRule type="expression" dxfId="16" priority="46">
      <formula>$C5=$C$42</formula>
    </cfRule>
  </conditionalFormatting>
  <dataValidations count="2">
    <dataValidation type="list" allowBlank="1" showInputMessage="1" showErrorMessage="1" errorTitle="Prezados," error="Cuidado com Dados Duplicados!!" promptTitle="Prezados," prompt="Cuidado com Dados Duplicados!!" sqref="D5:D41" xr:uid="{80AF38C7-7B7A-42A9-B5D8-5436B92F7837}">
      <formula1>INDIRECT(C5)</formula1>
    </dataValidation>
    <dataValidation type="list" allowBlank="1" showInputMessage="1" showErrorMessage="1" sqref="C5:C43" xr:uid="{F9E53189-54F5-4706-B90D-E5E5CD1B26C8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25</vt:i4>
      </vt:variant>
    </vt:vector>
  </HeadingPairs>
  <TitlesOfParts>
    <vt:vector size="37" baseType="lpstr">
      <vt:lpstr>EQP</vt:lpstr>
      <vt:lpstr>LGD</vt:lpstr>
      <vt:lpstr>PNN</vt:lpstr>
      <vt:lpstr>DLY</vt:lpstr>
      <vt:lpstr>PBL</vt:lpstr>
      <vt:lpstr>SPBL</vt:lpstr>
      <vt:lpstr>BDW</vt:lpstr>
      <vt:lpstr>RLT</vt:lpstr>
      <vt:lpstr>PLN</vt:lpstr>
      <vt:lpstr>MDL</vt:lpstr>
      <vt:lpstr>CARD 3</vt:lpstr>
      <vt:lpstr>BDW 1</vt:lpstr>
      <vt:lpstr>bdwcg</vt:lpstr>
      <vt:lpstr>Colaboradores</vt:lpstr>
      <vt:lpstr>PlanningPoker</vt:lpstr>
      <vt:lpstr>Prioridade</vt:lpstr>
      <vt:lpstr>BDW!SPRINT1</vt:lpstr>
      <vt:lpstr>'BDW 1'!SPRINT1</vt:lpstr>
      <vt:lpstr>RLT!SPRINT1</vt:lpstr>
      <vt:lpstr>SPRINT1</vt:lpstr>
      <vt:lpstr>BDW!SPRINT2</vt:lpstr>
      <vt:lpstr>'BDW 1'!SPRINT2</vt:lpstr>
      <vt:lpstr>RLT!SPRINT2</vt:lpstr>
      <vt:lpstr>SPRINT2</vt:lpstr>
      <vt:lpstr>BDW!SPRINT3</vt:lpstr>
      <vt:lpstr>'BDW 1'!SPRINT3</vt:lpstr>
      <vt:lpstr>RLT!SPRINT3</vt:lpstr>
      <vt:lpstr>SPRINT3</vt:lpstr>
      <vt:lpstr>BDW!SPRINT4</vt:lpstr>
      <vt:lpstr>'BDW 1'!SPRINT4</vt:lpstr>
      <vt:lpstr>RLT!SPRINT4</vt:lpstr>
      <vt:lpstr>SPRINT4</vt:lpstr>
      <vt:lpstr>BDW!SPRINTS</vt:lpstr>
      <vt:lpstr>'BDW 1'!SPRINTS</vt:lpstr>
      <vt:lpstr>RLT!SPRINTS</vt:lpstr>
      <vt:lpstr>SPRINTS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Silva</dc:creator>
  <cp:lastModifiedBy>Leticia Salles</cp:lastModifiedBy>
  <dcterms:created xsi:type="dcterms:W3CDTF">2021-03-04T21:32:32Z</dcterms:created>
  <dcterms:modified xsi:type="dcterms:W3CDTF">2021-05-11T13:30:40Z</dcterms:modified>
</cp:coreProperties>
</file>