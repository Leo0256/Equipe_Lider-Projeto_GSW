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FATEC\2º SEMESTRE ADS\API\SPRINT 3\"/>
    </mc:Choice>
  </mc:AlternateContent>
  <xr:revisionPtr revIDLastSave="0" documentId="13_ncr:1_{2759512D-9166-416B-8205-83A97595FBC1}" xr6:coauthVersionLast="46" xr6:coauthVersionMax="46" xr10:uidLastSave="{00000000-0000-0000-0000-000000000000}"/>
  <bookViews>
    <workbookView xWindow="-120" yWindow="-120" windowWidth="20730" windowHeight="11160" firstSheet="1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<sst xmlns="http://schemas.openxmlformats.org/spreadsheetml/2006/main" count="783" uniqueCount="353">
  <si>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</si>
  <si>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</si>
  <si>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</si>
  <si>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</si>
  <si>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</si>
  <si>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</si>
  <si>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</si>
  <si>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</si>
  <si>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</si>
  <si>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</si>
  <si>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</si>
  <si>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</si>
  <si>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</si>
  <si>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</si>
  <si>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</si>
  <si>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</si>
  <si>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</si>
  <si>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</si>
  <si>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</si>
  <si>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</si>
  <si>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</si>
  <si>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</si>
  <si>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</si>
  <si>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</si>
  <si>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</si>
  <si>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</si>
  <si>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</si>
  <si>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</si>
  <si>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</si>
  <si>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</si>
  <si>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</si>
  <si>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</si>
  <si>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</si>
  <si>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</si>
  <si>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</si>
  <si>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</si>
  <si>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</si>
  <si>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</si>
  <si>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</si>
  <si>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</si>
  <si>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</si>
  <si>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</si>
  <si>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</si>
  <si>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</si>
  <si>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</si>
  <si>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</si>
  <si>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</si>
  <si>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</si>
  <si>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</si>
  <si>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</si>
  <si>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</si>
  <si>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</si>
  <si>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</si>
  <si>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</si>
  <si>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</si>
  <si>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</si>
  <si>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</si>
  <si>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</si>
  <si>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</si>
  <si>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</si>
  <si>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</si>
  <si>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</si>
  <si>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</si>
  <si>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</si>
  <si>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</si>
  <si>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</si>
  <si>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</si>
  <si>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</si>
  <si>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</si>
  <si>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</si>
  <si>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</si>
  <si>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</si>
  <si>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</si>
  <si>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</si>
  <si>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</si>
  <si>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</si>
  <si>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</si>
  <si>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</si>
  <si>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</si>
  <si>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</si>
  <si>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</si>
  <si>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</si>
  <si>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</si>
  <si>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</si>
  <si>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</si>
  <si>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</si>
  <si>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</si>
  <si>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</si>
  <si>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</si>
  <si>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</si>
  <si>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</si>
  <si>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</si>
  <si>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</si>
  <si>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</si>
  <si>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</si>
  <si>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</si>
  <si>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</si>
  <si>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</si>
  <si>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</si>
  <si>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</si>
  <si>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</si>
  <si>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</si>
  <si>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</si>
  <si>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</si>
  <si>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</si>
  <si>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</si>
  <si>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</si>
  <si>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</si>
  <si>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</si>
  <si>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</si>
  <si>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</si>
  <si>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</si>
  <si>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</si>
  <si>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</si>
  <si>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</si>
  <si>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</si>
  <si>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</si>
  <si>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</si>
  <si>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</si>
  <si>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</si>
  <si>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</si>
  <si>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</si>
  <si>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</si>
  <si>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</si>
  <si>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</si>
  <si>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</si>
  <si>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</si>
  <si>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</si>
  <si>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</si>
  <si>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</si>
  <si>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</si>
  <si>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</si>
  <si>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</si>
  <si>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</si>
  <si>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</si>
  <si>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</si>
  <si>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</si>
  <si>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</si>
  <si>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</si>
  <si>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</si>
  <si>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</si>
  <si>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</si>
  <si>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</si>
  <si>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</si>
  <si>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</si>
  <si>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</si>
  <si>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</si>
  <si>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</si>
  <si>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</si>
  <si>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</si>
  <si>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</si>
  <si>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</si>
  <si>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</si>
  <si>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</si>
  <si>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</si>
  <si>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</si>
  <si>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</si>
  <si>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</si>
  <si>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</si>
  <si>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</si>
  <si>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</si>
  <si>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</si>
  <si>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</si>
  <si>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</si>
  <si>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</si>
  <si>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</si>
  <si>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</si>
  <si>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</si>
  <si>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</si>
  <si>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</si>
  <si>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</si>
  <si>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</si>
  <si>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</si>
  <si>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</si>
  <si>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</si>
  <si>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</si>
  <si>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</si>
  <si>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</si>
  <si>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</si>
  <si>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</si>
  <si>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</si>
  <si>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</si>
  <si>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</si>
  <si>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</si>
  <si>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</si>
  <si>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</si>
  <si>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</si>
  <si>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</si>
  <si>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</si>
  <si>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</si>
  <si>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</si>
  <si>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</si>
  <si>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</si>
  <si>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</si>
  <si>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</si>
  <si>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</si>
  <si>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</si>
  <si>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</si>
  <si>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</si>
  <si>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</si>
  <si>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</si>
  <si>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</si>
  <si>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</si>
  <si>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</si>
  <si>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</si>
  <si>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</si>
  <si>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</si>
  <si>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</si>
  <si>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</si>
  <si>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</si>
  <si>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</si>
  <si>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</si>
  <si>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</si>
  <si>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</si>
  <si>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</si>
  <si>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</si>
  <si>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</si>
  <si>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</si>
  <si>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</si>
  <si>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</si>
  <si>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</si>
  <si>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</si>
  <si>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</si>
  <si>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</si>
  <si>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</si>
  <si>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</si>
  <si>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</si>
  <si>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</si>
  <si>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</si>
  <si>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</si>
  <si>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</si>
  <si>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</si>
  <si>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</si>
  <si>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</si>
  <si>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</si>
  <si>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</si>
  <si>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</si>
  <si>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</si>
  <si>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</si>
  <si>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</si>
  <si>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</si>
  <si>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</si>
  <si>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</si>
  <si>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</si>
  <si>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</si>
  <si>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</si>
  <si>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</si>
  <si>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</si>
  <si>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</si>
  <si>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</si>
  <si>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</si>
  <si>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</si>
  <si>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</si>
  <si>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</si>
  <si>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</si>
  <si>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</si>
  <si>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</si>
  <si>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</si>
  <si>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</si>
  <si>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</si>
  <si>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</si>
  <si>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</si>
  <si>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</si>
  <si>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</si>
  <si>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</si>
  <si>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</si>
  <si>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</si>
  <si>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</si>
  <si>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</si>
  <si>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</si>
  <si>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</si>
  <si>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</si>
  <si>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</si>
  <si>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</si>
  <si>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</si>
  <si>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</si>
  <si>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</si>
  <si>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</si>
  <si>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</si>
  <si>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</si>
  <si>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</si>
  <si>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</si>
  <si>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</si>
  <si>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</si>
  <si>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</si>
  <si>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</si>
  <si>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</si>
  <si>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</si>
  <si>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</si>
  <si>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</si>
  <si>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</si>
  <si>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</si>
  <si>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</si>
  <si>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</si>
  <si>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</si>
  <si>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</si>
  <si>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</si>
  <si>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</si>
  <si>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</si>
  <si>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</si>
  <si>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</si>
  <si>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</si>
  <si>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</si>
  <si>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</si>
  <si>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</si>
  <si>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</si>
  <si>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</si>
  <si>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</si>
  <si>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</si>
  <si>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</si>
  <si>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a criação e documentação da classe que se conecte ao banco de dados, PARA a interação com os dados do sistema</t>
  </si>
  <si>
    <t>Eu COMO P.O. DESEJO a criação e documentação da classe de pesquisa, PARA obter os dados referentes à pesquisa e filtros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</si>
  <si>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</si>
  <si>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</si>
  <si>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</si>
  <si>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</si>
  <si>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</si>
  <si>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</si>
  <si>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</si>
  <si>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</si>
  <si>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</si>
  <si>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</si>
  <si>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</si>
  <si>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</si>
  <si>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</si>
  <si>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</si>
  <si>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</si>
  <si>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</si>
  <si>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</si>
  <si>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</si>
  <si>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</si>
  <si>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</si>
  <si>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a criação e documentação da classe de pesquisa, PARA obter os dados referentes à pesquisa e filtros.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</si>
  <si>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</si>
  <si>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</si>
  <si>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a criação e documentação da identidade visual do sistema, PARA a caracterização e melhor estética ao sistema.</t>
  </si>
  <si>
    <t>Eu COMO P.O. DESEJO criação e documentação da Tela de Menu, PARA a interação com o menu principal da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</si>
  <si>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</si>
  <si>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</si>
  <si>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criação e documentação da Tela de Pesquisa, PARA a interação com a aba de pesquisa e filtros.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</si>
  <si>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</si>
  <si>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</si>
  <si>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Eu COMO P.O. DESEJO a criação e documentação da classe de navegação, PARA transitar as telas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</si>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</sst>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9"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240</c:v>
                </c:pt>
                <c:pt idx="1">
                  <c:v>227.36842105263159</c:v>
                </c:pt>
                <c:pt idx="2">
                  <c:v>214.73684210526318</c:v>
                </c:pt>
                <c:pt idx="3">
                  <c:v>202.10526315789477</c:v>
                </c:pt>
                <c:pt idx="4">
                  <c:v>189.47368421052636</c:v>
                </c:pt>
                <c:pt idx="5">
                  <c:v>176.84210526315795</c:v>
                </c:pt>
                <c:pt idx="6">
                  <c:v>164.21052631578954</c:v>
                </c:pt>
                <c:pt idx="7">
                  <c:v>151.57894736842113</c:v>
                </c:pt>
                <c:pt idx="8">
                  <c:v>138.94736842105272</c:v>
                </c:pt>
                <c:pt idx="9">
                  <c:v>126.31578947368429</c:v>
                </c:pt>
                <c:pt idx="10">
                  <c:v>113.68421052631587</c:v>
                </c:pt>
                <c:pt idx="11">
                  <c:v>101.05263157894744</c:v>
                </c:pt>
                <c:pt idx="12">
                  <c:v>88.421052631579016</c:v>
                </c:pt>
                <c:pt idx="13">
                  <c:v>75.789473684210591</c:v>
                </c:pt>
                <c:pt idx="14">
                  <c:v>63.157894736842167</c:v>
                </c:pt>
                <c:pt idx="15">
                  <c:v>50.526315789473742</c:v>
                </c:pt>
                <c:pt idx="16">
                  <c:v>37.894736842105317</c:v>
                </c:pt>
                <c:pt idx="17">
                  <c:v>25.263157894736896</c:v>
                </c:pt>
                <c:pt idx="18">
                  <c:v>12.631578947368475</c:v>
                </c:pt>
                <c:pt idx="19">
                  <c:v>5.3290705182007514E-14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4</c:v>
                </c:pt>
                <c:pt idx="1">
                  <c:v>0</c:v>
                </c:pt>
                <c:pt idx="2" formatCode="0%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98" dataDxfId="97">
  <autoFilter ref="C4:J16" xr:uid="{A82FE305-C27C-457D-80CB-CEBBD19252AB}"/>
  <tableColumns count="8">
    <tableColumn id="1" xr3:uid="{8EC7D7B2-931E-4259-85F8-9646B745AB9C}" name="Evento" dataDxfId="96"/>
    <tableColumn id="5" xr3:uid="{34BB05BA-D959-4A7F-BC47-32E99D97A2A1}" name="Data Início" dataDxfId="95"/>
    <tableColumn id="6" xr3:uid="{E660A6CB-1441-4B4C-81C7-8504809644BD}" name="Data Entrega" dataDxfId="94"/>
    <tableColumn id="7" xr3:uid="{890A17A9-6AD0-4F52-BED9-2A7B5DEBAF0D}" name="Valor" dataDxfId="93"/>
    <tableColumn id="9" xr3:uid="{13E25AF1-BAF1-45BC-85A7-FAB976C5603B}" name="Avaliado" dataDxfId="92"/>
    <tableColumn id="4" xr3:uid="{A88EFAEF-7BE4-42C2-8B5B-375163D11085}" name="Data Planning" dataDxfId="91"/>
    <tableColumn id="2" xr3:uid="{7E93B85F-42DC-401C-BA5D-7CE07AB18502}" name="Objetivo" dataDxfId="90"/>
    <tableColumn id="3" xr3:uid="{76EBBE44-1339-4FF9-98E1-ABC83415AD2A}" name="Duração Estimado (d)" dataDxfId="89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88" dataDxfId="87">
  <autoFilter ref="C4:G13" xr:uid="{25878894-F0A8-4374-85DA-B0F17C5D212F}"/>
  <tableColumns count="5">
    <tableColumn id="1" xr3:uid="{47D702F4-B438-460A-B620-478B58CA7E9F}" name="Data de Registro" dataDxfId="86"/>
    <tableColumn id="2" xr3:uid="{AE003982-DC45-4049-B74E-CE3C3E40988D}" name="Colaborador (a)" dataDxfId="85"/>
    <tableColumn id="3" xr3:uid="{BE8558D0-C492-4781-9112-9DE7B9198122}" name="O que fez ontem?" dataDxfId="84"/>
    <tableColumn id="4" xr3:uid="{37975349-691C-4C13-8E04-242B3629FBAD}" name="O que vai fazer hoje?" dataDxfId="83"/>
    <tableColumn id="5" xr3:uid="{6376F944-27A6-4606-9497-2CF4482875B4}" name="Tem algum impedimento?" dataDxfId="82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81" dataDxfId="80">
  <autoFilter ref="C4:C19" xr:uid="{9214C94E-0A94-411D-B459-00CDF3D9E8F2}"/>
  <tableColumns count="1">
    <tableColumn id="1" xr3:uid="{8FB84E9F-A3A6-4BAA-A6A4-56A19E3118E0}" name="SPRINT1" dataDxfId="79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78" dataDxfId="77">
  <autoFilter ref="E4:E19" xr:uid="{42E3C4CB-7C35-431C-9EAC-7AC9F81476F2}"/>
  <tableColumns count="1">
    <tableColumn id="1" xr3:uid="{C1270632-3B56-4290-92BA-093385A5E1C3}" name="SPRINT2" dataDxfId="76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75" dataDxfId="74">
  <autoFilter ref="G4:G19" xr:uid="{4A5F5495-E36C-4391-9C8D-F7D63FB1E862}"/>
  <tableColumns count="1">
    <tableColumn id="1" xr3:uid="{09A67103-6042-4310-89F6-1319DDC9A647}" name="SPRINT3" dataDxfId="73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72" dataDxfId="71">
  <autoFilter ref="I4:I19" xr:uid="{311C97B3-4606-4DA7-8A29-61B0450D99A4}"/>
  <tableColumns count="1">
    <tableColumn id="1" xr3:uid="{07A1E61C-9C57-4545-AD65-F3E6A40CACE2}" name="SPRINT4" dataDxfId="70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9" dataDxfId="68">
  <autoFilter ref="K4:K8" xr:uid="{FD51E08D-04DE-4772-8ABC-000C3AD5CC4F}"/>
  <tableColumns count="1">
    <tableColumn id="1" xr3:uid="{503A7A8E-44DE-48DD-B456-7933001AEFB4}" name="SPRINTS" dataDxfId="67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66" dataDxfId="65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64"/>
    <tableColumn id="2" xr3:uid="{0FF1891E-49F8-4F83-90B4-4DD8621B2A2D}" name="SPRINT" dataDxfId="63"/>
    <tableColumn id="11" xr3:uid="{8D91D91F-5C27-4A57-A886-256238468055}" name="USER STORY" dataDxfId="62"/>
    <tableColumn id="3" xr3:uid="{B8B1D3D2-AE21-4363-B2A8-9F8427329F93}" name="ATIVIDADE" dataDxfId="61"/>
    <tableColumn id="4" xr3:uid="{5DC8590F-D246-4F1F-8283-B222CB428837}" name="PLANNING POKER" dataDxfId="60"/>
    <tableColumn id="6" xr3:uid="{9D874750-3F10-463C-BC16-978EBEED4DFD}" name="DURAÇÃO" dataDxfId="59">
      <calculatedColumnFormula>IFERROR(VLOOKUP($G5,LGD!$M$5:$N$11,2,0),"")</calculatedColumnFormula>
    </tableColumn>
    <tableColumn id="7" xr3:uid="{CF284E18-51A9-4E15-A5FE-13464E1E178D}" name="COLABORADOR (A)" dataDxfId="58"/>
    <tableColumn id="12" xr3:uid="{21349AE6-2347-4DE2-B83B-D4B523FD4A2F}" name="CATEGORIA" dataDxfId="57"/>
    <tableColumn id="8" xr3:uid="{831EDC5D-70DA-4FAD-A84E-DBF1793D073C}" name="PRIORIDADE" dataDxfId="56"/>
    <tableColumn id="9" xr3:uid="{BA91E7CE-9B27-4176-AA72-7C35AE52D31B}" name="STATUS" dataDxfId="55"/>
    <tableColumn id="5" xr3:uid="{83D08DF9-9C66-4573-90AB-0E15BD6F0D54}" name="DATA INÍCIO" dataDxfId="54"/>
    <tableColumn id="10" xr3:uid="{1B91932A-9D30-48EE-B750-05F18EB46F14}" name="DATA TÉRMINO" dataDxfId="53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52" dataDxfId="51" totalsRowDxfId="50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49"/>
    <tableColumn id="2" xr3:uid="{6DC44DEF-F161-4CCC-B272-2F8CA6C2B768}" name="ATIVIDADES" dataDxfId="48"/>
    <tableColumn id="3" xr3:uid="{F0F078A5-D31D-45C9-8B3F-6A7A7D72C375}" name="PERÍODO" dataDxfId="47">
      <calculatedColumnFormula>_xlfn.XLOOKUP(D5,SprintBackLog[ATIVIDADE],SprintBackLog[DURAÇÃO])</calculatedColumnFormula>
    </tableColumn>
    <tableColumn id="4" xr3:uid="{A0F9FBEF-6804-4F24-8D9B-BA513B2CCE54}" name="DIA 1" dataDxfId="46"/>
    <tableColumn id="5" xr3:uid="{32CF9CAC-4132-4516-96A6-5601B3E69F75}" name="DIA 2" dataDxfId="45"/>
    <tableColumn id="6" xr3:uid="{13F4CF45-261D-4632-980D-8765020BF450}" name="DIA 3" dataDxfId="44"/>
    <tableColumn id="7" xr3:uid="{48F746A1-B205-468F-8B92-2B596DD38B6B}" name="DIA 4" dataDxfId="43"/>
    <tableColumn id="8" xr3:uid="{7485B641-5DC3-49F3-8259-944A43C92398}" name="DIA 5" dataDxfId="42"/>
    <tableColumn id="9" xr3:uid="{9D8EB3AF-6DE7-4FC4-9DD9-9245C9EC1512}" name="DIA 6" dataDxfId="41"/>
    <tableColumn id="10" xr3:uid="{4E3CCF69-4C28-47A6-99E8-0970367FC169}" name="DIA 7" dataDxfId="40"/>
    <tableColumn id="11" xr3:uid="{51A5F9D3-6E45-4143-83F8-78B292517988}" name="DIA 8" dataDxfId="39"/>
    <tableColumn id="12" xr3:uid="{4F69013A-C7A0-492A-AE27-6539D3E4B2EC}" name="DIA 9" dataDxfId="38"/>
    <tableColumn id="13" xr3:uid="{1F6EAB22-7668-44F1-8D5A-A48B7B64EF09}" name="DIA 10" totalsRowFunction="sum" dataDxfId="37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4"/>
      <c r="E1" s="144"/>
      <c r="F1" s="144"/>
      <c r="G1" s="144"/>
      <c r="H1" s="144"/>
      <c r="I1" s="144"/>
      <c r="J1" s="144"/>
      <c r="K1" s="144"/>
      <c r="L1" s="144"/>
      <c r="M1" s="144"/>
    </row>
    <row r="2" spans="1:13" ht="33" customHeight="1" x14ac:dyDescent="0.2">
      <c r="A2" s="7"/>
      <c r="B2" s="7"/>
      <c r="C2" s="7"/>
      <c r="D2" s="145"/>
      <c r="E2" s="145"/>
      <c r="F2" s="145"/>
      <c r="G2" s="145"/>
      <c r="H2" s="145"/>
      <c r="I2" s="145"/>
      <c r="J2" s="145"/>
      <c r="K2" s="145"/>
      <c r="L2" s="145"/>
      <c r="M2" s="145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T15" activePane="bottomRight" state="frozen"/>
      <selection activeCell="J22" sqref="J22"/>
      <selection pane="topRight" activeCell="J22" sqref="J22"/>
      <selection pane="bottomLeft" activeCell="J22" sqref="J22"/>
      <selection pane="bottomRight" activeCell="M23" sqref="M2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343</v>
      </c>
      <c r="N12"/>
    </row>
    <row r="13" spans="1:18" ht="15" x14ac:dyDescent="0.25">
      <c r="E13"/>
      <c r="K13" s="40" t="s">
        <v>100</v>
      </c>
      <c r="M13" s="135" t="s">
        <v>344</v>
      </c>
    </row>
    <row r="14" spans="1:18" ht="15" x14ac:dyDescent="0.25">
      <c r="E14"/>
      <c r="K14" s="101" t="s">
        <v>231</v>
      </c>
      <c r="M14" s="135" t="s">
        <v>345</v>
      </c>
    </row>
    <row r="15" spans="1:18" ht="15" x14ac:dyDescent="0.25">
      <c r="E15"/>
      <c r="K15" s="101" t="s">
        <v>232</v>
      </c>
      <c r="M15" s="135" t="s">
        <v>346</v>
      </c>
    </row>
    <row r="16" spans="1:18" ht="15" x14ac:dyDescent="0.25">
      <c r="E16"/>
      <c r="K16" s="101" t="s">
        <v>235</v>
      </c>
      <c r="M16" s="135" t="s">
        <v>347</v>
      </c>
    </row>
    <row r="17" spans="5:13" ht="15" x14ac:dyDescent="0.25">
      <c r="E17"/>
      <c r="K17" s="101" t="s">
        <v>233</v>
      </c>
      <c r="M17" s="135" t="s">
        <v>348</v>
      </c>
    </row>
    <row r="18" spans="5:13" ht="15" x14ac:dyDescent="0.25">
      <c r="E18"/>
      <c r="K18" s="101" t="s">
        <v>234</v>
      </c>
    </row>
    <row r="19" spans="5:13" ht="29.25" x14ac:dyDescent="0.25">
      <c r="E19"/>
      <c r="K19" s="126" t="s">
        <v>264</v>
      </c>
    </row>
    <row r="20" spans="5:13" ht="15" x14ac:dyDescent="0.25">
      <c r="E20"/>
      <c r="K20" s="3" t="s">
        <v>349</v>
      </c>
    </row>
    <row r="21" spans="5:13" ht="43.5" x14ac:dyDescent="0.25">
      <c r="E21"/>
      <c r="K21" s="143" t="s">
        <v>350</v>
      </c>
    </row>
    <row r="22" spans="5:13" ht="29.25" x14ac:dyDescent="0.25">
      <c r="E22"/>
      <c r="K22" s="143" t="s">
        <v>351</v>
      </c>
    </row>
    <row r="23" spans="5:13" ht="57.75" x14ac:dyDescent="0.25">
      <c r="E23"/>
      <c r="K23" s="143" t="s">
        <v>352</v>
      </c>
    </row>
    <row r="24" spans="5:13" ht="15" x14ac:dyDescent="0.25">
      <c r="E24"/>
      <c r="K24" s="3"/>
    </row>
    <row r="25" spans="5:13" ht="15" x14ac:dyDescent="0.25">
      <c r="E25"/>
      <c r="K25" s="3"/>
    </row>
    <row r="26" spans="5:13" ht="15" x14ac:dyDescent="0.25">
      <c r="E26"/>
      <c r="K26" s="3"/>
    </row>
    <row r="27" spans="5:13" ht="15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6"/>
      <c r="E2" s="146"/>
      <c r="F2" s="146"/>
      <c r="G2" s="146"/>
      <c r="H2" s="146"/>
      <c r="I2" s="146"/>
      <c r="J2" s="146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7" t="s">
        <v>68</v>
      </c>
      <c r="D18" s="147"/>
      <c r="E18" s="147"/>
      <c r="F18" s="147"/>
      <c r="G18" s="147"/>
      <c r="H18" s="147"/>
      <c r="I18" s="147"/>
      <c r="J18" s="147"/>
    </row>
    <row r="19" spans="3:10" x14ac:dyDescent="0.2">
      <c r="C19" s="148"/>
      <c r="D19" s="148"/>
      <c r="E19" s="148"/>
      <c r="F19" s="148"/>
      <c r="G19" s="148"/>
      <c r="H19" s="148"/>
      <c r="I19" s="148"/>
      <c r="J19" s="148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E8" sqref="E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6"/>
      <c r="E2" s="146"/>
      <c r="F2" s="146"/>
      <c r="G2" s="146"/>
      <c r="H2" s="146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7" t="s">
        <v>94</v>
      </c>
      <c r="D15" s="147"/>
      <c r="E15" s="147"/>
      <c r="F15" s="147"/>
      <c r="G15" s="147"/>
    </row>
    <row r="16" spans="1:10" x14ac:dyDescent="0.2">
      <c r="C16" s="148"/>
      <c r="D16" s="148"/>
      <c r="E16" s="148"/>
      <c r="F16" s="148"/>
      <c r="G16" s="148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298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288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289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290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291</v>
      </c>
      <c r="I9" s="16" t="s">
        <v>271</v>
      </c>
    </row>
    <row r="10" spans="1:24" ht="25.35" customHeight="1" x14ac:dyDescent="0.2">
      <c r="C10" s="16" t="s">
        <v>144</v>
      </c>
      <c r="E10" s="16" t="s">
        <v>308</v>
      </c>
      <c r="G10" s="16" t="s">
        <v>292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293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294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295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296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297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299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49" t="s">
        <v>265</v>
      </c>
      <c r="E23" s="149"/>
      <c r="G23" s="128"/>
      <c r="I23" s="149"/>
    </row>
    <row r="24" spans="3:9" x14ac:dyDescent="0.2">
      <c r="C24" s="150"/>
      <c r="E24" s="150"/>
      <c r="G24" s="129"/>
      <c r="I24" s="150"/>
    </row>
    <row r="25" spans="3:9" x14ac:dyDescent="0.2">
      <c r="C25" s="150"/>
      <c r="E25" s="150"/>
      <c r="G25" s="129"/>
      <c r="I25" s="150"/>
    </row>
    <row r="26" spans="3:9" x14ac:dyDescent="0.2">
      <c r="C26" s="150"/>
      <c r="E26" s="150"/>
      <c r="G26" s="129"/>
      <c r="I26" s="150"/>
    </row>
    <row r="27" spans="3:9" x14ac:dyDescent="0.2">
      <c r="C27" s="150"/>
      <c r="E27" s="150"/>
      <c r="G27" s="129"/>
      <c r="I27" s="150"/>
    </row>
    <row r="28" spans="3:9" x14ac:dyDescent="0.2">
      <c r="C28" s="150"/>
      <c r="E28" s="150"/>
      <c r="G28" s="129"/>
      <c r="I28" s="150"/>
    </row>
    <row r="29" spans="3:9" x14ac:dyDescent="0.2">
      <c r="C29" s="150"/>
      <c r="E29" s="150"/>
      <c r="G29" s="129"/>
      <c r="I29" s="150"/>
    </row>
    <row r="30" spans="3:9" x14ac:dyDescent="0.2">
      <c r="C30" s="150"/>
      <c r="E30" s="150"/>
      <c r="G30" s="129"/>
      <c r="I30" s="150"/>
    </row>
    <row r="31" spans="3:9" x14ac:dyDescent="0.2">
      <c r="C31" s="150"/>
      <c r="E31" s="150"/>
      <c r="G31" s="129"/>
      <c r="I31" s="150"/>
    </row>
    <row r="32" spans="3:9" x14ac:dyDescent="0.2">
      <c r="C32" s="150"/>
      <c r="E32" s="150"/>
      <c r="G32" s="129"/>
      <c r="I32" s="150"/>
    </row>
    <row r="33" spans="3:9" x14ac:dyDescent="0.2">
      <c r="C33" s="150"/>
      <c r="E33" s="150"/>
      <c r="G33" s="129"/>
      <c r="I33" s="150"/>
    </row>
    <row r="34" spans="3:9" x14ac:dyDescent="0.2">
      <c r="C34" s="150"/>
      <c r="E34" s="150"/>
      <c r="G34" s="129"/>
      <c r="I34" s="150"/>
    </row>
    <row r="35" spans="3:9" x14ac:dyDescent="0.2">
      <c r="C35" s="150"/>
      <c r="E35" s="150"/>
      <c r="G35" s="129"/>
      <c r="I35" s="150"/>
    </row>
    <row r="36" spans="3:9" x14ac:dyDescent="0.2">
      <c r="C36" s="150"/>
      <c r="E36" s="150"/>
      <c r="G36" s="129"/>
      <c r="I36" s="150"/>
    </row>
    <row r="37" spans="3:9" x14ac:dyDescent="0.2">
      <c r="C37" s="150"/>
      <c r="E37" s="150"/>
      <c r="G37" s="129"/>
      <c r="I37" s="150"/>
    </row>
    <row r="38" spans="3:9" x14ac:dyDescent="0.2">
      <c r="C38" s="150"/>
      <c r="E38" s="150"/>
      <c r="G38" s="129"/>
      <c r="I38" s="150"/>
    </row>
    <row r="39" spans="3:9" x14ac:dyDescent="0.2">
      <c r="C39" s="150"/>
      <c r="E39" s="150"/>
      <c r="G39" s="129"/>
      <c r="I39" s="150"/>
    </row>
    <row r="40" spans="3:9" x14ac:dyDescent="0.2">
      <c r="C40" s="150"/>
      <c r="E40" s="150"/>
      <c r="G40" s="129"/>
      <c r="I40" s="150"/>
    </row>
    <row r="41" spans="3:9" x14ac:dyDescent="0.2">
      <c r="C41" s="150"/>
      <c r="E41" s="150"/>
      <c r="G41" s="129"/>
      <c r="I41" s="150"/>
    </row>
    <row r="42" spans="3:9" x14ac:dyDescent="0.2">
      <c r="C42" s="151"/>
      <c r="E42" s="151"/>
      <c r="G42" s="130"/>
      <c r="I42" s="151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tabSelected="1" zoomScale="70" zoomScaleNormal="7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F8" sqref="F8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47.25" x14ac:dyDescent="0.25">
      <c r="C5" s="92">
        <v>5</v>
      </c>
      <c r="D5" s="92" t="s">
        <v>97</v>
      </c>
      <c r="E5" s="93" t="s">
        <v>333</v>
      </c>
      <c r="F5" s="93" t="s">
        <v>298</v>
      </c>
      <c r="G5" s="92">
        <v>13</v>
      </c>
      <c r="H5" s="92">
        <f>IFERROR(VLOOKUP($G5,LGD!$M$5:$N$11,2,0),"")</f>
        <v>40</v>
      </c>
      <c r="I5" s="92" t="s">
        <v>231</v>
      </c>
      <c r="J5" s="92"/>
      <c r="K5" s="92" t="s">
        <v>242</v>
      </c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53.25" customHeight="1" x14ac:dyDescent="0.25">
      <c r="C6" s="92" t="s">
        <v>225</v>
      </c>
      <c r="D6" s="92" t="s">
        <v>97</v>
      </c>
      <c r="E6" s="93" t="s">
        <v>334</v>
      </c>
      <c r="F6" s="93" t="s">
        <v>288</v>
      </c>
      <c r="G6" s="92">
        <v>5</v>
      </c>
      <c r="H6" s="92">
        <f>IFERROR(VLOOKUP($G6,LGD!$M$5:$N$11,2,0),"")</f>
        <v>8</v>
      </c>
      <c r="I6" s="142" t="s">
        <v>352</v>
      </c>
      <c r="J6" s="92"/>
      <c r="K6" s="92" t="s">
        <v>242</v>
      </c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66.75" customHeight="1" x14ac:dyDescent="0.25">
      <c r="C7" s="92" t="s">
        <v>300</v>
      </c>
      <c r="D7" s="92" t="s">
        <v>97</v>
      </c>
      <c r="E7" s="93" t="s">
        <v>335</v>
      </c>
      <c r="F7" s="93" t="s">
        <v>289</v>
      </c>
      <c r="G7" s="92">
        <v>2</v>
      </c>
      <c r="H7" s="92">
        <f>IFERROR(VLOOKUP($G7,LGD!$M$5:$N$11,2,0),"")</f>
        <v>4</v>
      </c>
      <c r="I7" s="92" t="s">
        <v>49</v>
      </c>
      <c r="J7" s="92"/>
      <c r="K7" s="92" t="s">
        <v>242</v>
      </c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63" x14ac:dyDescent="0.25">
      <c r="C8" s="92" t="s">
        <v>301</v>
      </c>
      <c r="D8" s="92" t="s">
        <v>97</v>
      </c>
      <c r="E8" s="93" t="s">
        <v>336</v>
      </c>
      <c r="F8" s="93" t="s">
        <v>290</v>
      </c>
      <c r="G8" s="92">
        <v>2</v>
      </c>
      <c r="H8" s="92">
        <f>IFERROR(VLOOKUP($G8,LGD!$M$5:$N$11,2,0),"")</f>
        <v>4</v>
      </c>
      <c r="I8" s="92" t="s">
        <v>349</v>
      </c>
      <c r="J8" s="92"/>
      <c r="K8" s="92" t="s">
        <v>242</v>
      </c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51" customHeight="1" x14ac:dyDescent="0.25">
      <c r="C9" s="92" t="s">
        <v>302</v>
      </c>
      <c r="D9" s="92" t="s">
        <v>97</v>
      </c>
      <c r="E9" s="93" t="s">
        <v>339</v>
      </c>
      <c r="F9" s="93" t="s">
        <v>291</v>
      </c>
      <c r="G9" s="92">
        <v>8</v>
      </c>
      <c r="H9" s="92">
        <f>IFERROR(VLOOKUP($G9,LGD!$M$5:$N$11,2,0),"")</f>
        <v>16</v>
      </c>
      <c r="I9" s="142" t="s">
        <v>350</v>
      </c>
      <c r="J9" s="92"/>
      <c r="K9" s="92" t="s">
        <v>242</v>
      </c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53.25" customHeight="1" x14ac:dyDescent="0.25">
      <c r="C10" s="92" t="s">
        <v>303</v>
      </c>
      <c r="D10" s="92" t="s">
        <v>97</v>
      </c>
      <c r="E10" s="93" t="s">
        <v>337</v>
      </c>
      <c r="F10" s="93" t="s">
        <v>292</v>
      </c>
      <c r="G10" s="92">
        <v>5</v>
      </c>
      <c r="H10" s="92">
        <f>IFERROR(VLOOKUP($G10,LGD!$M$5:$N$11,2,0),"")</f>
        <v>8</v>
      </c>
      <c r="I10" s="142" t="s">
        <v>350</v>
      </c>
      <c r="J10" s="92"/>
      <c r="K10" s="92" t="s">
        <v>242</v>
      </c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338</v>
      </c>
      <c r="F11" s="93" t="s">
        <v>293</v>
      </c>
      <c r="G11" s="92">
        <v>13</v>
      </c>
      <c r="H11" s="92">
        <f>IFERROR(VLOOKUP($G11,LGD!$M$5:$N$11,2,0),"")</f>
        <v>40</v>
      </c>
      <c r="I11" s="142" t="s">
        <v>351</v>
      </c>
      <c r="J11" s="92"/>
      <c r="K11" s="92" t="s">
        <v>243</v>
      </c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63" x14ac:dyDescent="0.25">
      <c r="C12" s="92" t="s">
        <v>304</v>
      </c>
      <c r="D12" s="92" t="s">
        <v>97</v>
      </c>
      <c r="E12" s="93" t="s">
        <v>340</v>
      </c>
      <c r="F12" s="93" t="s">
        <v>294</v>
      </c>
      <c r="G12" s="92">
        <v>13</v>
      </c>
      <c r="H12" s="92">
        <f>IFERROR(VLOOKUP($G12,LGD!$M$5:$N$11,2,0),"")</f>
        <v>40</v>
      </c>
      <c r="I12" s="142" t="s">
        <v>351</v>
      </c>
      <c r="J12" s="92"/>
      <c r="K12" s="92" t="s">
        <v>243</v>
      </c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63" x14ac:dyDescent="0.25">
      <c r="C13" s="92" t="s">
        <v>305</v>
      </c>
      <c r="D13" s="92" t="s">
        <v>97</v>
      </c>
      <c r="E13" s="93" t="s">
        <v>310</v>
      </c>
      <c r="F13" s="93" t="s">
        <v>295</v>
      </c>
      <c r="G13" s="92">
        <v>8</v>
      </c>
      <c r="H13" s="92">
        <f>IFERROR(VLOOKUP($G13,LGD!$M$5:$N$11,2,0),"")</f>
        <v>16</v>
      </c>
      <c r="I13" s="142" t="s">
        <v>351</v>
      </c>
      <c r="J13" s="92"/>
      <c r="K13" s="92" t="s">
        <v>243</v>
      </c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9.5" customHeight="1" x14ac:dyDescent="0.25">
      <c r="C14" s="92" t="s">
        <v>306</v>
      </c>
      <c r="D14" s="92" t="s">
        <v>97</v>
      </c>
      <c r="E14" s="93" t="s">
        <v>342</v>
      </c>
      <c r="F14" s="93" t="s">
        <v>296</v>
      </c>
      <c r="G14" s="92">
        <v>8</v>
      </c>
      <c r="H14" s="92">
        <f>IFERROR(VLOOKUP($G14,LGD!$M$5:$N$11,2,0),"")</f>
        <v>16</v>
      </c>
      <c r="I14" s="142" t="s">
        <v>351</v>
      </c>
      <c r="J14" s="92"/>
      <c r="K14" s="92" t="s">
        <v>243</v>
      </c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63" x14ac:dyDescent="0.25">
      <c r="C15" s="92" t="s">
        <v>307</v>
      </c>
      <c r="D15" s="92" t="s">
        <v>97</v>
      </c>
      <c r="E15" s="93" t="s">
        <v>311</v>
      </c>
      <c r="F15" s="93" t="s">
        <v>297</v>
      </c>
      <c r="G15" s="92">
        <v>8</v>
      </c>
      <c r="H15" s="92">
        <f>IFERROR(VLOOKUP($G15,LGD!$M$5:$N$11,2,0),"")</f>
        <v>16</v>
      </c>
      <c r="I15" s="142" t="s">
        <v>351</v>
      </c>
      <c r="J15" s="92"/>
      <c r="K15" s="92" t="s">
        <v>243</v>
      </c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63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>
        <v>5</v>
      </c>
      <c r="H16" s="92">
        <f>IFERROR(VLOOKUP($G16,LGD!$M$5:$N$11,2,0),"")</f>
        <v>8</v>
      </c>
      <c r="I16" s="92" t="s">
        <v>48</v>
      </c>
      <c r="J16" s="92"/>
      <c r="K16" s="92" t="s">
        <v>243</v>
      </c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63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>
        <v>5</v>
      </c>
      <c r="H17" s="92">
        <f>IFERROR(VLOOKUP($G17,LGD!$M$5:$N$11,2,0),"")</f>
        <v>8</v>
      </c>
      <c r="I17" s="92" t="s">
        <v>48</v>
      </c>
      <c r="J17" s="92"/>
      <c r="K17" s="92" t="s">
        <v>243</v>
      </c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63" x14ac:dyDescent="0.25">
      <c r="C18" s="92" t="s">
        <v>229</v>
      </c>
      <c r="D18" s="92" t="s">
        <v>97</v>
      </c>
      <c r="E18" s="93" t="s">
        <v>309</v>
      </c>
      <c r="F18" s="93" t="s">
        <v>299</v>
      </c>
      <c r="G18" s="92">
        <v>5</v>
      </c>
      <c r="H18" s="92">
        <f>IFERROR(VLOOKUP($G18,LGD!$M$5:$N$11,2,0),"")</f>
        <v>8</v>
      </c>
      <c r="I18" s="92" t="s">
        <v>48</v>
      </c>
      <c r="J18" s="92"/>
      <c r="K18" s="92" t="s">
        <v>243</v>
      </c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47.2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>
        <v>5</v>
      </c>
      <c r="H19" s="92">
        <f>IFERROR(VLOOKUP($G19,LGD!$M$5:$N$11,2,0),"")</f>
        <v>8</v>
      </c>
      <c r="I19" s="92" t="s">
        <v>48</v>
      </c>
      <c r="J19" s="92"/>
      <c r="K19" s="92" t="s">
        <v>243</v>
      </c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47.25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47.2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47.2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63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47.25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47.25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/>
      <c r="H35" s="92" t="str">
        <f>IFERROR(VLOOKUP($G35,LGD!$M$5:$N$11,2,0),"")</f>
        <v/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31.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47.25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47.25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47.25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94.5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47.25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47.25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63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78.7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31.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31.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36" priority="1">
      <formula>$D5="SPRINT4"</formula>
    </cfRule>
    <cfRule type="expression" dxfId="35" priority="2">
      <formula>$D5="SPRINT3"</formula>
    </cfRule>
    <cfRule type="expression" dxfId="34" priority="3">
      <formula>$D5="SPRINT2"</formula>
    </cfRule>
    <cfRule type="expression" dxfId="33" priority="4">
      <formula>$D5="SPRINT1"</formula>
    </cfRule>
    <cfRule type="expression" dxfId="32" priority="56">
      <formula>$L5="Transferido"</formula>
    </cfRule>
    <cfRule type="expression" dxfId="31" priority="57">
      <formula>$L5="Em Espera"</formula>
    </cfRule>
    <cfRule type="expression" dxfId="30" priority="58">
      <formula>$L5="Em Andamento"</formula>
    </cfRule>
    <cfRule type="expression" dxfId="29" priority="59">
      <formula>$L5="Concluído"</formula>
    </cfRule>
    <cfRule type="expression" dxfId="28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L7" sqref="L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4" t="str">
        <f>C11</f>
        <v>SPRINT3</v>
      </c>
      <c r="D4" s="154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54"/>
      <c r="D5" s="154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52" t="s">
        <v>257</v>
      </c>
      <c r="D6" s="153"/>
      <c r="E6" s="132">
        <f>IFERROR(SUMIFS(SPBL!$H$5:$H$81,SPBL!$D$5:$D$81,$C$11),"")</f>
        <v>240</v>
      </c>
      <c r="F6" s="115">
        <f>E6-$E$6/(COUNT($E$5:$X$5)-1)</f>
        <v>227.36842105263159</v>
      </c>
      <c r="G6" s="115">
        <f t="shared" ref="G6:X6" si="1">F6-$E$6/(COUNT($E$5:$X$5)-1)</f>
        <v>214.73684210526318</v>
      </c>
      <c r="H6" s="115">
        <f t="shared" si="1"/>
        <v>202.10526315789477</v>
      </c>
      <c r="I6" s="115">
        <f t="shared" si="1"/>
        <v>189.47368421052636</v>
      </c>
      <c r="J6" s="115">
        <f t="shared" si="1"/>
        <v>176.84210526315795</v>
      </c>
      <c r="K6" s="115">
        <f t="shared" si="1"/>
        <v>164.21052631578954</v>
      </c>
      <c r="L6" s="115">
        <f t="shared" si="1"/>
        <v>151.57894736842113</v>
      </c>
      <c r="M6" s="115">
        <f t="shared" si="1"/>
        <v>138.94736842105272</v>
      </c>
      <c r="N6" s="115">
        <f t="shared" si="1"/>
        <v>126.31578947368429</v>
      </c>
      <c r="O6" s="115">
        <f t="shared" si="1"/>
        <v>113.68421052631587</v>
      </c>
      <c r="P6" s="115">
        <f t="shared" si="1"/>
        <v>101.05263157894744</v>
      </c>
      <c r="Q6" s="115">
        <f t="shared" si="1"/>
        <v>88.421052631579016</v>
      </c>
      <c r="R6" s="115">
        <f t="shared" si="1"/>
        <v>75.789473684210591</v>
      </c>
      <c r="S6" s="115">
        <f t="shared" si="1"/>
        <v>63.157894736842167</v>
      </c>
      <c r="T6" s="115">
        <f t="shared" si="1"/>
        <v>50.526315789473742</v>
      </c>
      <c r="U6" s="115">
        <f t="shared" si="1"/>
        <v>37.894736842105317</v>
      </c>
      <c r="V6" s="115">
        <f t="shared" si="1"/>
        <v>25.263157894736896</v>
      </c>
      <c r="W6" s="115">
        <f t="shared" si="1"/>
        <v>12.631578947368475</v>
      </c>
      <c r="X6" s="115">
        <f t="shared" si="1"/>
        <v>5.3290705182007514E-14</v>
      </c>
      <c r="Y6"/>
      <c r="Z6"/>
    </row>
    <row r="7" spans="1:26" ht="18" customHeight="1" x14ac:dyDescent="0.25">
      <c r="C7" s="152" t="s">
        <v>258</v>
      </c>
      <c r="D7" s="153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2" t="s">
        <v>259</v>
      </c>
      <c r="D8" s="153"/>
      <c r="E8" s="132">
        <f>IFERROR(E6-E7,"")</f>
        <v>240</v>
      </c>
      <c r="F8" s="132">
        <f ca="1">IF(F5&lt;=$G$12,E8-F7,"")</f>
        <v>240</v>
      </c>
      <c r="G8" s="132">
        <f ca="1">IF(G5&lt;=$G$12,F8-G7,"")</f>
        <v>240</v>
      </c>
      <c r="H8" s="132">
        <f t="shared" ref="H8:W8" ca="1" si="2">IF(H5&lt;=$G$12,G8-H7,"")</f>
        <v>240</v>
      </c>
      <c r="I8" s="132">
        <f t="shared" ca="1" si="2"/>
        <v>240</v>
      </c>
      <c r="J8" s="132">
        <f t="shared" ca="1" si="2"/>
        <v>240</v>
      </c>
      <c r="K8" s="132">
        <f t="shared" ca="1" si="2"/>
        <v>240</v>
      </c>
      <c r="L8" s="132">
        <f t="shared" ca="1" si="2"/>
        <v>240</v>
      </c>
      <c r="M8" s="132">
        <f t="shared" ca="1" si="2"/>
        <v>240</v>
      </c>
      <c r="N8" s="132">
        <f t="shared" ca="1" si="2"/>
        <v>240</v>
      </c>
      <c r="O8" s="132">
        <f t="shared" ca="1" si="2"/>
        <v>240</v>
      </c>
      <c r="P8" s="132">
        <f t="shared" ca="1" si="2"/>
        <v>240</v>
      </c>
      <c r="Q8" s="132">
        <f t="shared" ca="1" si="2"/>
        <v>240</v>
      </c>
      <c r="R8" s="132">
        <f t="shared" ca="1" si="2"/>
        <v>240</v>
      </c>
      <c r="S8" s="132">
        <f t="shared" ca="1" si="2"/>
        <v>240</v>
      </c>
      <c r="T8" s="132" t="str">
        <f t="shared" ca="1" si="2"/>
        <v/>
      </c>
      <c r="U8" s="132" t="str">
        <f t="shared" ca="1" si="2"/>
        <v/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4" t="s">
        <v>97</v>
      </c>
      <c r="D11" s="154"/>
      <c r="E11" s="116" t="s">
        <v>260</v>
      </c>
      <c r="F11" s="116" t="s">
        <v>261</v>
      </c>
      <c r="G11" s="156" t="s">
        <v>262</v>
      </c>
      <c r="H11" s="156"/>
    </row>
    <row r="12" spans="1:26" ht="15.95" customHeight="1" x14ac:dyDescent="0.25">
      <c r="C12" s="154"/>
      <c r="D12" s="154"/>
      <c r="E12" s="133">
        <f>_xlfn.XLOOKUP(C11,Planning[Evento],Planning[Data Início])</f>
        <v>44312</v>
      </c>
      <c r="F12" s="114">
        <f>_xlfn.XLOOKUP(C11,Planning[Evento],Planning[Data Entrega])</f>
        <v>44332</v>
      </c>
      <c r="G12" s="155">
        <f ca="1">TODAY()</f>
        <v>44327</v>
      </c>
      <c r="H12" s="155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57" t="s">
        <v>48</v>
      </c>
      <c r="D42" s="157"/>
      <c r="E42" s="120">
        <f>COUNTIFS(SPBL!$I$5:$I$81,"="&amp;RLT!$C$42,SPBL!$D$5:$D$81,"="&amp;RLT!$E$41)</f>
        <v>4</v>
      </c>
      <c r="F42" s="122" t="str">
        <f>SUMIFS(SPBL!G5:$G$81,SPBL!D5:D81,RLT!E41,SPBL!I5:$I$81,RLT!C42)&amp;" / 100"</f>
        <v>20 / 100</v>
      </c>
      <c r="G42" s="121">
        <f>SUMIFS(SPBL!G5:$G$81,SPBL!D5:D81,RLT!E41,SPBL!I5:$I$81,RLT!C42)/100</f>
        <v>0.2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0" t="s">
        <v>92</v>
      </c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</row>
    <row r="5" spans="1:23" ht="15" thickBot="1" x14ac:dyDescent="0.25"/>
    <row r="6" spans="1:23" ht="15" x14ac:dyDescent="0.2">
      <c r="C6" s="24">
        <v>1</v>
      </c>
      <c r="D6" s="174" t="s">
        <v>83</v>
      </c>
      <c r="E6" s="174"/>
      <c r="F6" s="174"/>
      <c r="G6" s="30"/>
      <c r="H6" s="25"/>
      <c r="I6" s="25"/>
      <c r="J6" s="31"/>
      <c r="K6" s="171" t="s">
        <v>86</v>
      </c>
      <c r="L6" s="171"/>
      <c r="M6" s="171"/>
      <c r="N6" s="34">
        <v>2</v>
      </c>
      <c r="O6" s="30"/>
      <c r="P6" s="25"/>
      <c r="Q6" s="25"/>
      <c r="R6" s="31"/>
      <c r="S6" s="171" t="s">
        <v>91</v>
      </c>
      <c r="T6" s="171"/>
      <c r="U6" s="171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5" t="s">
        <v>84</v>
      </c>
      <c r="H15" s="176"/>
      <c r="I15" s="176"/>
      <c r="J15" s="32">
        <v>3</v>
      </c>
      <c r="K15" s="23"/>
      <c r="L15" s="23"/>
      <c r="M15" s="23"/>
      <c r="N15" s="23"/>
      <c r="O15" s="33">
        <v>7</v>
      </c>
      <c r="P15" s="169" t="s">
        <v>89</v>
      </c>
      <c r="Q15" s="169"/>
      <c r="R15" s="170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7" t="s">
        <v>85</v>
      </c>
      <c r="I25" s="177"/>
      <c r="J25" s="178"/>
      <c r="K25" s="23"/>
      <c r="L25" s="23"/>
      <c r="M25" s="23"/>
      <c r="N25" s="23"/>
      <c r="O25" s="167" t="s">
        <v>90</v>
      </c>
      <c r="P25" s="168"/>
      <c r="Q25" s="168"/>
      <c r="R25" s="36">
        <v>6</v>
      </c>
      <c r="S25" s="23"/>
      <c r="T25" s="23"/>
      <c r="U25" s="23"/>
      <c r="V25" s="28"/>
    </row>
    <row r="26" spans="3:22" ht="15" customHeight="1" x14ac:dyDescent="0.2">
      <c r="C26" s="179">
        <v>5</v>
      </c>
      <c r="D26" s="161" t="s">
        <v>93</v>
      </c>
      <c r="E26" s="161"/>
      <c r="F26" s="161"/>
      <c r="G26" s="161"/>
      <c r="H26" s="161"/>
      <c r="I26" s="161"/>
      <c r="J26" s="161"/>
      <c r="K26" s="161"/>
      <c r="L26" s="162"/>
      <c r="M26" s="30"/>
      <c r="N26" s="25"/>
      <c r="O26" s="25"/>
      <c r="P26" s="25"/>
      <c r="Q26" s="25"/>
      <c r="R26" s="25"/>
      <c r="S26" s="25"/>
      <c r="T26" s="25"/>
      <c r="U26" s="25"/>
      <c r="V26" s="172" t="s">
        <v>88</v>
      </c>
    </row>
    <row r="27" spans="3:22" ht="15" customHeight="1" x14ac:dyDescent="0.2">
      <c r="C27" s="180"/>
      <c r="D27" s="163"/>
      <c r="E27" s="163"/>
      <c r="F27" s="163"/>
      <c r="G27" s="163"/>
      <c r="H27" s="163"/>
      <c r="I27" s="163"/>
      <c r="J27" s="163"/>
      <c r="K27" s="163"/>
      <c r="L27" s="164"/>
      <c r="M27" s="27"/>
      <c r="N27" s="23"/>
      <c r="O27" s="23"/>
      <c r="P27" s="23"/>
      <c r="Q27" s="23"/>
      <c r="R27" s="23"/>
      <c r="S27" s="23"/>
      <c r="T27" s="23"/>
      <c r="U27" s="23"/>
      <c r="V27" s="173"/>
    </row>
    <row r="28" spans="3:22" ht="15" customHeight="1" x14ac:dyDescent="0.2">
      <c r="C28" s="181" t="s">
        <v>87</v>
      </c>
      <c r="D28" s="163"/>
      <c r="E28" s="163"/>
      <c r="F28" s="163"/>
      <c r="G28" s="163"/>
      <c r="H28" s="163"/>
      <c r="I28" s="163"/>
      <c r="J28" s="163"/>
      <c r="K28" s="163"/>
      <c r="L28" s="164"/>
      <c r="M28" s="27"/>
      <c r="N28" s="23"/>
      <c r="O28" s="23"/>
      <c r="P28" s="23"/>
      <c r="Q28" s="23"/>
      <c r="R28" s="23"/>
      <c r="S28" s="23"/>
      <c r="T28" s="23"/>
      <c r="U28" s="23"/>
      <c r="V28" s="173"/>
    </row>
    <row r="29" spans="3:22" ht="15" customHeight="1" x14ac:dyDescent="0.2">
      <c r="C29" s="181"/>
      <c r="D29" s="163"/>
      <c r="E29" s="163"/>
      <c r="F29" s="163"/>
      <c r="G29" s="163"/>
      <c r="H29" s="163"/>
      <c r="I29" s="163"/>
      <c r="J29" s="163"/>
      <c r="K29" s="163"/>
      <c r="L29" s="164"/>
      <c r="M29" s="27"/>
      <c r="N29" s="23"/>
      <c r="O29" s="23"/>
      <c r="P29" s="23"/>
      <c r="Q29" s="23"/>
      <c r="R29" s="23"/>
      <c r="S29" s="23"/>
      <c r="T29" s="23"/>
      <c r="U29" s="23"/>
      <c r="V29" s="173"/>
    </row>
    <row r="30" spans="3:22" ht="15" customHeight="1" x14ac:dyDescent="0.2">
      <c r="C30" s="181"/>
      <c r="D30" s="163"/>
      <c r="E30" s="163"/>
      <c r="F30" s="163"/>
      <c r="G30" s="163"/>
      <c r="H30" s="163"/>
      <c r="I30" s="163"/>
      <c r="J30" s="163"/>
      <c r="K30" s="163"/>
      <c r="L30" s="164"/>
      <c r="M30" s="27"/>
      <c r="N30" s="23"/>
      <c r="O30" s="23"/>
      <c r="P30" s="23"/>
      <c r="Q30" s="23"/>
      <c r="R30" s="23"/>
      <c r="S30" s="23"/>
      <c r="T30" s="23"/>
      <c r="U30" s="23"/>
      <c r="V30" s="173"/>
    </row>
    <row r="31" spans="3:22" ht="15" customHeight="1" x14ac:dyDescent="0.2">
      <c r="C31" s="181"/>
      <c r="D31" s="163"/>
      <c r="E31" s="163"/>
      <c r="F31" s="163"/>
      <c r="G31" s="163"/>
      <c r="H31" s="163"/>
      <c r="I31" s="163"/>
      <c r="J31" s="163"/>
      <c r="K31" s="163"/>
      <c r="L31" s="164"/>
      <c r="M31" s="27"/>
      <c r="N31" s="23"/>
      <c r="O31" s="23"/>
      <c r="P31" s="23"/>
      <c r="Q31" s="23"/>
      <c r="R31" s="23"/>
      <c r="S31" s="23"/>
      <c r="T31" s="23"/>
      <c r="U31" s="23"/>
      <c r="V31" s="173"/>
    </row>
    <row r="32" spans="3:22" ht="15" customHeight="1" x14ac:dyDescent="0.2">
      <c r="C32" s="181"/>
      <c r="D32" s="163"/>
      <c r="E32" s="163"/>
      <c r="F32" s="163"/>
      <c r="G32" s="163"/>
      <c r="H32" s="163"/>
      <c r="I32" s="163"/>
      <c r="J32" s="163"/>
      <c r="K32" s="163"/>
      <c r="L32" s="164"/>
      <c r="M32" s="27"/>
      <c r="N32" s="23"/>
      <c r="O32" s="23"/>
      <c r="P32" s="23"/>
      <c r="Q32" s="23"/>
      <c r="R32" s="23"/>
      <c r="S32" s="23"/>
      <c r="T32" s="23"/>
      <c r="U32" s="23"/>
      <c r="V32" s="173"/>
    </row>
    <row r="33" spans="3:22" ht="15" customHeight="1" x14ac:dyDescent="0.2">
      <c r="C33" s="181"/>
      <c r="D33" s="163"/>
      <c r="E33" s="163"/>
      <c r="F33" s="163"/>
      <c r="G33" s="163"/>
      <c r="H33" s="163"/>
      <c r="I33" s="163"/>
      <c r="J33" s="163"/>
      <c r="K33" s="163"/>
      <c r="L33" s="164"/>
      <c r="M33" s="27"/>
      <c r="N33" s="23"/>
      <c r="O33" s="23"/>
      <c r="P33" s="23"/>
      <c r="Q33" s="23"/>
      <c r="R33" s="23"/>
      <c r="S33" s="23"/>
      <c r="T33" s="23"/>
      <c r="U33" s="23"/>
      <c r="V33" s="173"/>
    </row>
    <row r="34" spans="3:22" ht="15" customHeight="1" x14ac:dyDescent="0.2">
      <c r="C34" s="181"/>
      <c r="D34" s="163"/>
      <c r="E34" s="163"/>
      <c r="F34" s="163"/>
      <c r="G34" s="163"/>
      <c r="H34" s="163"/>
      <c r="I34" s="163"/>
      <c r="J34" s="163"/>
      <c r="K34" s="163"/>
      <c r="L34" s="164"/>
      <c r="M34" s="27"/>
      <c r="N34" s="23"/>
      <c r="O34" s="23"/>
      <c r="P34" s="23"/>
      <c r="Q34" s="23"/>
      <c r="R34" s="23"/>
      <c r="S34" s="23"/>
      <c r="T34" s="23"/>
      <c r="U34" s="23"/>
      <c r="V34" s="158">
        <v>9</v>
      </c>
    </row>
    <row r="35" spans="3:22" ht="15.75" customHeight="1" thickBot="1" x14ac:dyDescent="0.25">
      <c r="C35" s="182"/>
      <c r="D35" s="165"/>
      <c r="E35" s="165"/>
      <c r="F35" s="165"/>
      <c r="G35" s="165"/>
      <c r="H35" s="165"/>
      <c r="I35" s="165"/>
      <c r="J35" s="165"/>
      <c r="K35" s="165"/>
      <c r="L35" s="166"/>
      <c r="M35" s="37"/>
      <c r="N35" s="29"/>
      <c r="O35" s="29"/>
      <c r="P35" s="29"/>
      <c r="Q35" s="29"/>
      <c r="R35" s="29"/>
      <c r="S35" s="29"/>
      <c r="T35" s="29"/>
      <c r="U35" s="29"/>
      <c r="V35" s="159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G17"/>
  <sheetViews>
    <sheetView zoomScale="80" zoomScaleNormal="80" workbookViewId="0">
      <selection activeCell="I8" sqref="I8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7" max="7" width="17.85546875" customWidth="1"/>
    <col min="9" max="12" width="9.140625" customWidth="1"/>
  </cols>
  <sheetData>
    <row r="2" spans="2:7" ht="30" customHeight="1" x14ac:dyDescent="0.25">
      <c r="B2" s="140" t="s">
        <v>327</v>
      </c>
      <c r="C2" s="140" t="s">
        <v>328</v>
      </c>
      <c r="D2" s="140" t="s">
        <v>329</v>
      </c>
      <c r="E2" s="140" t="s">
        <v>330</v>
      </c>
      <c r="F2" s="141" t="s">
        <v>331</v>
      </c>
      <c r="G2" s="185"/>
    </row>
    <row r="3" spans="2:7" ht="42.75" x14ac:dyDescent="0.25">
      <c r="B3" s="139" t="s">
        <v>312</v>
      </c>
      <c r="C3" s="136" t="s">
        <v>97</v>
      </c>
      <c r="D3" s="137" t="s">
        <v>333</v>
      </c>
      <c r="E3" s="138" t="s">
        <v>298</v>
      </c>
      <c r="F3" s="136" t="s">
        <v>348</v>
      </c>
      <c r="G3" s="187" t="s">
        <v>231</v>
      </c>
    </row>
    <row r="4" spans="2:7" ht="42.75" x14ac:dyDescent="0.25">
      <c r="B4" s="139" t="s">
        <v>313</v>
      </c>
      <c r="C4" s="136" t="s">
        <v>97</v>
      </c>
      <c r="D4" s="137" t="s">
        <v>334</v>
      </c>
      <c r="E4" s="138" t="s">
        <v>288</v>
      </c>
      <c r="F4" s="136" t="s">
        <v>346</v>
      </c>
      <c r="G4" s="186" t="s">
        <v>264</v>
      </c>
    </row>
    <row r="5" spans="2:7" ht="57" x14ac:dyDescent="0.25">
      <c r="B5" s="139" t="s">
        <v>314</v>
      </c>
      <c r="C5" s="136" t="s">
        <v>97</v>
      </c>
      <c r="D5" s="137" t="s">
        <v>335</v>
      </c>
      <c r="E5" s="138" t="s">
        <v>289</v>
      </c>
      <c r="F5" s="136" t="s">
        <v>344</v>
      </c>
      <c r="G5" s="187" t="s">
        <v>49</v>
      </c>
    </row>
    <row r="6" spans="2:7" ht="42.75" x14ac:dyDescent="0.25">
      <c r="B6" s="139" t="s">
        <v>315</v>
      </c>
      <c r="C6" s="136" t="s">
        <v>97</v>
      </c>
      <c r="D6" s="137" t="s">
        <v>336</v>
      </c>
      <c r="E6" s="138" t="s">
        <v>290</v>
      </c>
      <c r="F6" s="136" t="s">
        <v>344</v>
      </c>
      <c r="G6" s="187" t="s">
        <v>349</v>
      </c>
    </row>
    <row r="7" spans="2:7" ht="42.75" x14ac:dyDescent="0.25">
      <c r="B7" s="139" t="s">
        <v>316</v>
      </c>
      <c r="C7" s="136" t="s">
        <v>97</v>
      </c>
      <c r="D7" s="137" t="s">
        <v>339</v>
      </c>
      <c r="E7" s="138" t="s">
        <v>291</v>
      </c>
      <c r="F7" s="136" t="s">
        <v>347</v>
      </c>
      <c r="G7" s="186" t="s">
        <v>235</v>
      </c>
    </row>
    <row r="8" spans="2:7" ht="45" x14ac:dyDescent="0.25">
      <c r="B8" s="139" t="s">
        <v>317</v>
      </c>
      <c r="C8" s="136" t="s">
        <v>97</v>
      </c>
      <c r="D8" s="137" t="s">
        <v>337</v>
      </c>
      <c r="E8" s="138" t="s">
        <v>292</v>
      </c>
      <c r="F8" s="136" t="s">
        <v>346</v>
      </c>
      <c r="G8" s="186" t="s">
        <v>350</v>
      </c>
    </row>
    <row r="9" spans="2:7" ht="45" x14ac:dyDescent="0.25">
      <c r="B9" s="139" t="s">
        <v>318</v>
      </c>
      <c r="C9" s="136" t="s">
        <v>97</v>
      </c>
      <c r="D9" s="137" t="s">
        <v>338</v>
      </c>
      <c r="E9" s="138" t="s">
        <v>293</v>
      </c>
      <c r="F9" s="136" t="s">
        <v>348</v>
      </c>
      <c r="G9" s="186" t="s">
        <v>351</v>
      </c>
    </row>
    <row r="10" spans="2:7" ht="57" x14ac:dyDescent="0.25">
      <c r="B10" s="139" t="s">
        <v>319</v>
      </c>
      <c r="C10" s="136" t="s">
        <v>97</v>
      </c>
      <c r="D10" s="137" t="s">
        <v>340</v>
      </c>
      <c r="E10" s="138" t="s">
        <v>294</v>
      </c>
      <c r="F10" s="136" t="s">
        <v>348</v>
      </c>
      <c r="G10" s="186" t="s">
        <v>351</v>
      </c>
    </row>
    <row r="11" spans="2:7" ht="57" x14ac:dyDescent="0.25">
      <c r="B11" s="139" t="s">
        <v>320</v>
      </c>
      <c r="C11" s="136" t="s">
        <v>97</v>
      </c>
      <c r="D11" s="137" t="s">
        <v>341</v>
      </c>
      <c r="E11" s="138" t="s">
        <v>295</v>
      </c>
      <c r="F11" s="136" t="s">
        <v>347</v>
      </c>
      <c r="G11" s="186" t="s">
        <v>351</v>
      </c>
    </row>
    <row r="12" spans="2:7" ht="45" x14ac:dyDescent="0.25">
      <c r="B12" s="139" t="s">
        <v>321</v>
      </c>
      <c r="C12" s="136" t="s">
        <v>97</v>
      </c>
      <c r="D12" s="137" t="s">
        <v>342</v>
      </c>
      <c r="E12" s="138" t="s">
        <v>296</v>
      </c>
      <c r="F12" s="136" t="s">
        <v>347</v>
      </c>
      <c r="G12" s="186" t="s">
        <v>351</v>
      </c>
    </row>
    <row r="13" spans="2:7" ht="45" x14ac:dyDescent="0.25">
      <c r="B13" s="139" t="s">
        <v>322</v>
      </c>
      <c r="C13" s="136" t="s">
        <v>97</v>
      </c>
      <c r="D13" s="137" t="s">
        <v>332</v>
      </c>
      <c r="E13" s="138" t="s">
        <v>297</v>
      </c>
      <c r="F13" s="136" t="s">
        <v>347</v>
      </c>
      <c r="G13" s="186" t="s">
        <v>351</v>
      </c>
    </row>
    <row r="14" spans="2:7" ht="57" x14ac:dyDescent="0.25">
      <c r="B14" s="139" t="s">
        <v>323</v>
      </c>
      <c r="C14" s="136" t="s">
        <v>97</v>
      </c>
      <c r="D14" s="137" t="s">
        <v>213</v>
      </c>
      <c r="E14" s="138" t="s">
        <v>171</v>
      </c>
      <c r="F14" s="136" t="s">
        <v>346</v>
      </c>
      <c r="G14" s="187" t="s">
        <v>48</v>
      </c>
    </row>
    <row r="15" spans="2:7" ht="57" x14ac:dyDescent="0.25">
      <c r="B15" s="139" t="s">
        <v>324</v>
      </c>
      <c r="C15" s="136" t="s">
        <v>97</v>
      </c>
      <c r="D15" s="137" t="s">
        <v>214</v>
      </c>
      <c r="E15" s="138" t="s">
        <v>172</v>
      </c>
      <c r="F15" s="136" t="s">
        <v>346</v>
      </c>
      <c r="G15" s="187" t="s">
        <v>48</v>
      </c>
    </row>
    <row r="16" spans="2:7" ht="90" customHeight="1" x14ac:dyDescent="0.25">
      <c r="B16" s="139" t="s">
        <v>325</v>
      </c>
      <c r="C16" s="136" t="s">
        <v>97</v>
      </c>
      <c r="D16" s="137" t="s">
        <v>309</v>
      </c>
      <c r="E16" s="138" t="s">
        <v>299</v>
      </c>
      <c r="F16" s="136" t="s">
        <v>346</v>
      </c>
      <c r="G16" s="187" t="s">
        <v>48</v>
      </c>
    </row>
    <row r="17" spans="2:7" ht="49.5" customHeight="1" x14ac:dyDescent="0.25">
      <c r="B17" s="139" t="s">
        <v>326</v>
      </c>
      <c r="C17" s="136" t="s">
        <v>97</v>
      </c>
      <c r="D17" s="137" t="s">
        <v>215</v>
      </c>
      <c r="E17" s="138" t="s">
        <v>174</v>
      </c>
      <c r="F17" s="136" t="s">
        <v>346</v>
      </c>
      <c r="G17" s="187" t="s">
        <v>48</v>
      </c>
    </row>
  </sheetData>
  <phoneticPr fontId="11" type="noConversion"/>
  <conditionalFormatting sqref="C3:F17">
    <cfRule type="expression" dxfId="27" priority="79">
      <formula>$E3="SPRINT4"</formula>
    </cfRule>
    <cfRule type="expression" dxfId="26" priority="80">
      <formula>$E3="SPRINT3"</formula>
    </cfRule>
    <cfRule type="expression" dxfId="25" priority="81">
      <formula>$E3="SPRINT2"</formula>
    </cfRule>
    <cfRule type="expression" dxfId="24" priority="82">
      <formula>$E3="SPRINT1"</formula>
    </cfRule>
    <cfRule type="expression" dxfId="23" priority="83">
      <formula>$M3="Transferido"</formula>
    </cfRule>
    <cfRule type="expression" dxfId="22" priority="84">
      <formula>$M3="Em Espera"</formula>
    </cfRule>
    <cfRule type="expression" dxfId="21" priority="85">
      <formula>$M3="Em Andamento"</formula>
    </cfRule>
    <cfRule type="expression" dxfId="20" priority="86">
      <formula>$M3="Concluído"</formula>
    </cfRule>
    <cfRule type="expression" dxfId="19" priority="87">
      <formula>$M3="Em Atraso"</formula>
    </cfRule>
  </conditionalFormatting>
  <conditionalFormatting sqref="G2">
    <cfRule type="expression" dxfId="18" priority="10">
      <formula>$D2="SPRINT4"</formula>
    </cfRule>
    <cfRule type="expression" dxfId="17" priority="11">
      <formula>$D2="SPRINT3"</formula>
    </cfRule>
    <cfRule type="expression" dxfId="16" priority="12">
      <formula>$D2="SPRINT2"</formula>
    </cfRule>
    <cfRule type="expression" dxfId="15" priority="13">
      <formula>$D2="SPRINT1"</formula>
    </cfRule>
    <cfRule type="expression" dxfId="14" priority="14">
      <formula>$L2="Transferido"</formula>
    </cfRule>
    <cfRule type="expression" dxfId="13" priority="15">
      <formula>$L2="Em Espera"</formula>
    </cfRule>
    <cfRule type="expression" dxfId="12" priority="16">
      <formula>$L2="Em Andamento"</formula>
    </cfRule>
    <cfRule type="expression" dxfId="11" priority="17">
      <formula>$L2="Concluído"</formula>
    </cfRule>
    <cfRule type="expression" dxfId="10" priority="18">
      <formula>$L2="Em Atraso"</formula>
    </cfRule>
  </conditionalFormatting>
  <conditionalFormatting sqref="G3:G17">
    <cfRule type="expression" dxfId="9" priority="1">
      <formula>$D3="SPRINT4"</formula>
    </cfRule>
    <cfRule type="expression" dxfId="8" priority="2">
      <formula>$D3="SPRINT3"</formula>
    </cfRule>
    <cfRule type="expression" dxfId="7" priority="3">
      <formula>$D3="SPRINT2"</formula>
    </cfRule>
    <cfRule type="expression" dxfId="6" priority="4">
      <formula>$D3="SPRINT1"</formula>
    </cfRule>
    <cfRule type="expression" dxfId="5" priority="5">
      <formula>$L3="Transferido"</formula>
    </cfRule>
    <cfRule type="expression" dxfId="4" priority="6">
      <formula>$L3="Em Espera"</formula>
    </cfRule>
    <cfRule type="expression" dxfId="3" priority="7">
      <formula>$L3="Em Andamento"</formula>
    </cfRule>
    <cfRule type="expression" dxfId="2" priority="8">
      <formula>$L3="Concluído"</formula>
    </cfRule>
    <cfRule type="expression" dxfId="1" priority="9">
      <formula>$L3="Em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  <x14:dataValidation type="list" allowBlank="1" showInputMessage="1" showErrorMessage="1" errorTitle="Prezados," error="Essa célula aceita apenas os colaboradores da Equipe LÍDER. Conforme o castrado." xr:uid="{D0A866AD-0D6E-4E60-A9F5-7A9CFBB6CE20}">
          <x14:formula1>
            <xm:f>LGD!$K$5:$K$50</xm:f>
          </x14:formula1>
          <xm:sqref>G2:G17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3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4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0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2021-05-12T01:04:51Z</dcterms:modified>
</cp:coreProperties>
</file>